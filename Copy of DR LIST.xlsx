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visakorn_k_kasikornsecurities_com/Documents/Attachments/Management/Offshore project/"/>
    </mc:Choice>
  </mc:AlternateContent>
  <xr:revisionPtr revIDLastSave="0" documentId="8_{CD77DD6C-6AC5-4BD2-AF2E-680367ECA410}" xr6:coauthVersionLast="47" xr6:coauthVersionMax="47" xr10:uidLastSave="{00000000-0000-0000-0000-000000000000}"/>
  <bookViews>
    <workbookView xWindow="28680" yWindow="-120" windowWidth="29040" windowHeight="15720" activeTab="1" xr2:uid="{DAA6FA21-CF87-4506-9656-4DDA2A8E9B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V5" i="1"/>
  <c r="Y15" i="1"/>
  <c r="AY5" i="1" s="1"/>
  <c r="AR232" i="1"/>
  <c r="AR18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3" i="1"/>
  <c r="AR234" i="1"/>
  <c r="AR235" i="1"/>
  <c r="AR236" i="1"/>
  <c r="AR4" i="1"/>
  <c r="Y18" i="1"/>
  <c r="AY8" i="1" s="1"/>
  <c r="Y42" i="1"/>
  <c r="AY60" i="1" s="1"/>
  <c r="U15" i="1"/>
  <c r="AI15" i="1"/>
  <c r="AI32" i="1"/>
  <c r="AJ32" i="1" s="1"/>
  <c r="AI26" i="1"/>
  <c r="AJ26" i="1" s="1"/>
  <c r="AI34" i="1"/>
  <c r="AJ34" i="1" s="1"/>
  <c r="AI28" i="1"/>
  <c r="AJ28" i="1" s="1"/>
  <c r="AI29" i="1"/>
  <c r="AJ29" i="1" s="1"/>
  <c r="AI23" i="1"/>
  <c r="AJ23" i="1" s="1"/>
  <c r="AI25" i="1"/>
  <c r="AJ25" i="1" s="1"/>
  <c r="AI33" i="1"/>
  <c r="AJ33" i="1" s="1"/>
  <c r="AI31" i="1"/>
  <c r="AJ31" i="1" s="1"/>
  <c r="AI30" i="1"/>
  <c r="AJ30" i="1" s="1"/>
  <c r="AI24" i="1"/>
  <c r="AJ24" i="1" s="1"/>
  <c r="AI27" i="1"/>
  <c r="AJ27" i="1" s="1"/>
  <c r="AI35" i="1"/>
  <c r="AJ35" i="1" s="1"/>
  <c r="AJ3" i="1"/>
  <c r="AJ4" i="1"/>
  <c r="AJ5" i="1"/>
  <c r="AJ6" i="1"/>
  <c r="AJ7" i="1"/>
  <c r="AJ8" i="1"/>
  <c r="AJ9" i="1"/>
  <c r="AJ10" i="1"/>
  <c r="AJ11" i="1"/>
  <c r="AJ14" i="1"/>
  <c r="AJ12" i="1"/>
  <c r="AJ13" i="1"/>
  <c r="AJ15" i="1"/>
  <c r="AI4" i="1"/>
  <c r="AI3" i="1"/>
  <c r="AI5" i="1"/>
  <c r="AI6" i="1"/>
  <c r="AI7" i="1"/>
  <c r="AI8" i="1"/>
  <c r="AI9" i="1"/>
  <c r="AI10" i="1"/>
  <c r="AI11" i="1"/>
  <c r="AI14" i="1"/>
  <c r="AI12" i="1"/>
  <c r="AI13" i="1"/>
  <c r="H1" i="1"/>
  <c r="I1" i="1"/>
  <c r="J1" i="1"/>
  <c r="K1" i="1"/>
  <c r="L1" i="1"/>
  <c r="M1" i="1"/>
  <c r="N1" i="1"/>
  <c r="O1" i="1"/>
  <c r="P1" i="1"/>
  <c r="Q1" i="1"/>
  <c r="R1" i="1"/>
  <c r="S1" i="1"/>
  <c r="T1" i="1"/>
  <c r="G1" i="1"/>
  <c r="B138" i="1" l="1"/>
  <c r="B22" i="1"/>
  <c r="Y28" i="1" s="1"/>
  <c r="AY34" i="1" s="1"/>
  <c r="Y7" i="1"/>
  <c r="AY141" i="1" s="1"/>
  <c r="Y20" i="1"/>
  <c r="AY127" i="1" s="1"/>
  <c r="Y5" i="1"/>
  <c r="AY134" i="1" s="1"/>
  <c r="Y6" i="1"/>
  <c r="AY81" i="1" s="1"/>
  <c r="Y8" i="1"/>
  <c r="AY95" i="1" s="1"/>
  <c r="Y9" i="1"/>
  <c r="AY21" i="1" s="1"/>
  <c r="Y10" i="1"/>
  <c r="AY20" i="1" s="1"/>
  <c r="Y11" i="1"/>
  <c r="AY138" i="1" s="1"/>
  <c r="Y12" i="1"/>
  <c r="AY112" i="1" s="1"/>
  <c r="Y13" i="1"/>
  <c r="AY26" i="1" s="1"/>
  <c r="Y14" i="1"/>
  <c r="AY43" i="1" s="1"/>
  <c r="Y16" i="1"/>
  <c r="AY131" i="1" s="1"/>
  <c r="Y17" i="1"/>
  <c r="AY160" i="1" s="1"/>
  <c r="Y19" i="1"/>
  <c r="AY101" i="1" s="1"/>
  <c r="Y21" i="1"/>
  <c r="AY32" i="1" s="1"/>
  <c r="Y22" i="1"/>
  <c r="AY31" i="1" s="1"/>
  <c r="Y23" i="1"/>
  <c r="AY12" i="1" s="1"/>
  <c r="Y24" i="1"/>
  <c r="AY121" i="1" s="1"/>
  <c r="Y25" i="1"/>
  <c r="AY74" i="1" s="1"/>
  <c r="Y26" i="1"/>
  <c r="AY97" i="1" s="1"/>
  <c r="Y27" i="1"/>
  <c r="AY171" i="1" s="1"/>
  <c r="Y29" i="1"/>
  <c r="AY118" i="1" s="1"/>
  <c r="Y30" i="1"/>
  <c r="AY117" i="1" s="1"/>
  <c r="Y31" i="1"/>
  <c r="AY146" i="1" s="1"/>
  <c r="Y32" i="1"/>
  <c r="AY144" i="1" s="1"/>
  <c r="Y33" i="1"/>
  <c r="AY111" i="1" s="1"/>
  <c r="Y34" i="1"/>
  <c r="AY24" i="1" s="1"/>
  <c r="Y35" i="1"/>
  <c r="AY100" i="1" s="1"/>
  <c r="Y36" i="1"/>
  <c r="AY51" i="1" s="1"/>
  <c r="Y37" i="1"/>
  <c r="AY143" i="1" s="1"/>
  <c r="Y38" i="1"/>
  <c r="AY72" i="1" s="1"/>
  <c r="Y39" i="1"/>
  <c r="AY123" i="1" s="1"/>
  <c r="Y40" i="1"/>
  <c r="AY133" i="1" s="1"/>
  <c r="Y41" i="1"/>
  <c r="AY6" i="1" s="1"/>
  <c r="Y43" i="1"/>
  <c r="AY140" i="1" s="1"/>
  <c r="Y44" i="1"/>
  <c r="AY17" i="1" s="1"/>
  <c r="Y45" i="1"/>
  <c r="AY4" i="1" s="1"/>
  <c r="Y46" i="1"/>
  <c r="AY149" i="1" s="1"/>
  <c r="Y47" i="1"/>
  <c r="AY85" i="1" s="1"/>
  <c r="Y48" i="1"/>
  <c r="AY36" i="1" s="1"/>
  <c r="Y49" i="1"/>
  <c r="AY49" i="1" s="1"/>
  <c r="Y50" i="1"/>
  <c r="AY7" i="1" s="1"/>
  <c r="Y51" i="1"/>
  <c r="AY46" i="1" s="1"/>
  <c r="Y52" i="1"/>
  <c r="AY48" i="1" s="1"/>
  <c r="Y53" i="1"/>
  <c r="AY99" i="1" s="1"/>
  <c r="Y54" i="1"/>
  <c r="AY73" i="1" s="1"/>
  <c r="Y55" i="1"/>
  <c r="AY82" i="1" s="1"/>
  <c r="Y56" i="1"/>
  <c r="AY54" i="1" s="1"/>
  <c r="Y57" i="1"/>
  <c r="AY57" i="1" s="1"/>
  <c r="Y58" i="1"/>
  <c r="AY137" i="1" s="1"/>
  <c r="Y59" i="1"/>
  <c r="AY59" i="1" s="1"/>
  <c r="Y60" i="1"/>
  <c r="AY153" i="1" s="1"/>
  <c r="Y61" i="1"/>
  <c r="AY84" i="1" s="1"/>
  <c r="Y62" i="1"/>
  <c r="AY139" i="1" s="1"/>
  <c r="Y63" i="1"/>
  <c r="AY147" i="1" s="1"/>
  <c r="Y64" i="1"/>
  <c r="AY67" i="1" s="1"/>
  <c r="Y65" i="1"/>
  <c r="AY40" i="1" s="1"/>
  <c r="Y66" i="1"/>
  <c r="AY94" i="1" s="1"/>
  <c r="Y67" i="1"/>
  <c r="AY45" i="1" s="1"/>
  <c r="Y68" i="1"/>
  <c r="AY61" i="1" s="1"/>
  <c r="Y69" i="1"/>
  <c r="AY129" i="1" s="1"/>
  <c r="Y70" i="1"/>
  <c r="AY173" i="1" s="1"/>
  <c r="Y72" i="1"/>
  <c r="AY58" i="1" s="1"/>
  <c r="Y71" i="1"/>
  <c r="AY128" i="1" s="1"/>
  <c r="Y73" i="1"/>
  <c r="AY27" i="1" s="1"/>
  <c r="Y74" i="1"/>
  <c r="AY56" i="1" s="1"/>
  <c r="Y75" i="1"/>
  <c r="AY148" i="1" s="1"/>
  <c r="Y76" i="1"/>
  <c r="AY77" i="1" s="1"/>
  <c r="Y77" i="1"/>
  <c r="AY169" i="1" s="1"/>
  <c r="Y78" i="1"/>
  <c r="AY167" i="1" s="1"/>
  <c r="Y79" i="1"/>
  <c r="AY98" i="1" s="1"/>
  <c r="Y80" i="1"/>
  <c r="AY11" i="1" s="1"/>
  <c r="Y81" i="1"/>
  <c r="AY151" i="1" s="1"/>
  <c r="Y82" i="1"/>
  <c r="AY42" i="1" s="1"/>
  <c r="Y83" i="1"/>
  <c r="AY152" i="1" s="1"/>
  <c r="Y84" i="1"/>
  <c r="AY132" i="1" s="1"/>
  <c r="Y85" i="1"/>
  <c r="AY130" i="1" s="1"/>
  <c r="Y86" i="1"/>
  <c r="AY28" i="1" s="1"/>
  <c r="Y87" i="1"/>
  <c r="AY93" i="1" s="1"/>
  <c r="Y88" i="1"/>
  <c r="AY38" i="1" s="1"/>
  <c r="Y89" i="1"/>
  <c r="AY86" i="1" s="1"/>
  <c r="Y90" i="1"/>
  <c r="AY19" i="1" s="1"/>
  <c r="Y91" i="1"/>
  <c r="AY104" i="1" s="1"/>
  <c r="Y92" i="1"/>
  <c r="AY124" i="1" s="1"/>
  <c r="Y93" i="1"/>
  <c r="AY157" i="1" s="1"/>
  <c r="Y94" i="1"/>
  <c r="AY135" i="1" s="1"/>
  <c r="Y95" i="1"/>
  <c r="AY18" i="1" s="1"/>
  <c r="Y96" i="1"/>
  <c r="AY145" i="1" s="1"/>
  <c r="Y97" i="1"/>
  <c r="AY79" i="1" s="1"/>
  <c r="Y98" i="1"/>
  <c r="AY37" i="1" s="1"/>
  <c r="Y99" i="1"/>
  <c r="AY96" i="1" s="1"/>
  <c r="Y100" i="1"/>
  <c r="AY22" i="1" s="1"/>
  <c r="Y101" i="1"/>
  <c r="AY69" i="1" s="1"/>
  <c r="Y102" i="1"/>
  <c r="AY35" i="1" s="1"/>
  <c r="Y103" i="1"/>
  <c r="AY110" i="1" s="1"/>
  <c r="Y104" i="1"/>
  <c r="AY136" i="1" s="1"/>
  <c r="Y105" i="1"/>
  <c r="AY76" i="1" s="1"/>
  <c r="Y106" i="1"/>
  <c r="AY109" i="1" s="1"/>
  <c r="Y107" i="1"/>
  <c r="AY29" i="1" s="1"/>
  <c r="Y108" i="1"/>
  <c r="AY9" i="1" s="1"/>
  <c r="Y109" i="1"/>
  <c r="AY90" i="1" s="1"/>
  <c r="Y110" i="1"/>
  <c r="AY159" i="1" s="1"/>
  <c r="Y111" i="1"/>
  <c r="AY47" i="1" s="1"/>
  <c r="Y112" i="1"/>
  <c r="AY80" i="1" s="1"/>
  <c r="Y113" i="1"/>
  <c r="AY92" i="1" s="1"/>
  <c r="Y114" i="1"/>
  <c r="AY158" i="1" s="1"/>
  <c r="Y115" i="1"/>
  <c r="AY65" i="1" s="1"/>
  <c r="Y116" i="1"/>
  <c r="AY13" i="1" s="1"/>
  <c r="Y117" i="1"/>
  <c r="AY52" i="1" s="1"/>
  <c r="Y118" i="1"/>
  <c r="AY33" i="1" s="1"/>
  <c r="Y119" i="1"/>
  <c r="AY16" i="1" s="1"/>
  <c r="Y120" i="1"/>
  <c r="AY122" i="1" s="1"/>
  <c r="Y121" i="1"/>
  <c r="AY125" i="1" s="1"/>
  <c r="Y122" i="1"/>
  <c r="AY163" i="1" s="1"/>
  <c r="Y123" i="1"/>
  <c r="AY83" i="1" s="1"/>
  <c r="Y124" i="1"/>
  <c r="AY156" i="1" s="1"/>
  <c r="Y125" i="1"/>
  <c r="AY162" i="1" s="1"/>
  <c r="Y126" i="1"/>
  <c r="AY161" i="1" s="1"/>
  <c r="Y127" i="1"/>
  <c r="AY87" i="1" s="1"/>
  <c r="Y128" i="1"/>
  <c r="AY44" i="1" s="1"/>
  <c r="Y129" i="1"/>
  <c r="AY63" i="1" s="1"/>
  <c r="Y130" i="1"/>
  <c r="AY25" i="1" s="1"/>
  <c r="Y131" i="1"/>
  <c r="AY89" i="1" s="1"/>
  <c r="Y132" i="1"/>
  <c r="AY62" i="1" s="1"/>
  <c r="Y133" i="1"/>
  <c r="AY120" i="1" s="1"/>
  <c r="Y134" i="1"/>
  <c r="AY39" i="1" s="1"/>
  <c r="Y135" i="1"/>
  <c r="AY70" i="1" s="1"/>
  <c r="Y136" i="1"/>
  <c r="AY126" i="1" s="1"/>
  <c r="Y137" i="1"/>
  <c r="AY168" i="1" s="1"/>
  <c r="Y138" i="1"/>
  <c r="AY166" i="1" s="1"/>
  <c r="Y139" i="1"/>
  <c r="AY170" i="1" s="1"/>
  <c r="Y140" i="1"/>
  <c r="AY165" i="1" s="1"/>
  <c r="Y141" i="1"/>
  <c r="AY154" i="1" s="1"/>
  <c r="Y142" i="1"/>
  <c r="AY164" i="1" s="1"/>
  <c r="Y143" i="1"/>
  <c r="AY30" i="1" s="1"/>
  <c r="Y144" i="1"/>
  <c r="AY107" i="1" s="1"/>
  <c r="Y145" i="1"/>
  <c r="AY113" i="1" s="1"/>
  <c r="Y146" i="1"/>
  <c r="AY108" i="1" s="1"/>
  <c r="Y147" i="1"/>
  <c r="AY78" i="1" s="1"/>
  <c r="Y148" i="1"/>
  <c r="AY102" i="1" s="1"/>
  <c r="Y149" i="1"/>
  <c r="AY116" i="1" s="1"/>
  <c r="Y150" i="1"/>
  <c r="AY150" i="1" s="1"/>
  <c r="Y151" i="1"/>
  <c r="AY15" i="1" s="1"/>
  <c r="Y152" i="1"/>
  <c r="AY68" i="1" s="1"/>
  <c r="Y153" i="1"/>
  <c r="AY172" i="1" s="1"/>
  <c r="Y154" i="1"/>
  <c r="AY106" i="1" s="1"/>
  <c r="Y155" i="1"/>
  <c r="AY23" i="1" s="1"/>
  <c r="Y156" i="1"/>
  <c r="AY10" i="1" s="1"/>
  <c r="Y157" i="1"/>
  <c r="AY66" i="1" s="1"/>
  <c r="Y158" i="1"/>
  <c r="AY53" i="1" s="1"/>
  <c r="Y159" i="1"/>
  <c r="AY75" i="1" s="1"/>
  <c r="Y160" i="1"/>
  <c r="AY114" i="1" s="1"/>
  <c r="Y161" i="1"/>
  <c r="AY91" i="1" s="1"/>
  <c r="Y162" i="1"/>
  <c r="AY115" i="1" s="1"/>
  <c r="Y163" i="1"/>
  <c r="AY71" i="1" s="1"/>
  <c r="Y164" i="1"/>
  <c r="AY103" i="1" s="1"/>
  <c r="Y165" i="1"/>
  <c r="AY142" i="1" s="1"/>
  <c r="Y166" i="1"/>
  <c r="AY50" i="1" s="1"/>
  <c r="Y167" i="1"/>
  <c r="AY119" i="1" s="1"/>
  <c r="Y168" i="1"/>
  <c r="AY64" i="1" s="1"/>
  <c r="Y169" i="1"/>
  <c r="AY105" i="1" s="1"/>
  <c r="Y170" i="1"/>
  <c r="AY88" i="1" s="1"/>
  <c r="Y171" i="1"/>
  <c r="AY155" i="1" s="1"/>
  <c r="Y172" i="1"/>
  <c r="AY14" i="1" s="1"/>
  <c r="Y173" i="1"/>
  <c r="AY55" i="1" s="1"/>
  <c r="Y4" i="1"/>
  <c r="AY41" i="1" s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2" i="1"/>
  <c r="V71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4" i="1"/>
  <c r="U5" i="1"/>
  <c r="U6" i="1"/>
  <c r="U7" i="1"/>
  <c r="U8" i="1"/>
  <c r="U9" i="1"/>
  <c r="U10" i="1"/>
  <c r="U11" i="1"/>
  <c r="U12" i="1"/>
  <c r="U13" i="1"/>
  <c r="U14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2" i="1"/>
  <c r="U71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W173" i="1" l="1"/>
  <c r="W77" i="1"/>
  <c r="AZ169" i="1" s="1"/>
  <c r="W111" i="1"/>
  <c r="W79" i="1"/>
  <c r="AZ98" i="1" s="1"/>
  <c r="W93" i="1"/>
  <c r="AZ157" i="1" s="1"/>
  <c r="W140" i="1"/>
  <c r="AZ165" i="1" s="1"/>
  <c r="W76" i="1"/>
  <c r="W141" i="1"/>
  <c r="AZ154" i="1" s="1"/>
  <c r="W143" i="1"/>
  <c r="W109" i="1"/>
  <c r="AZ90" i="1" s="1"/>
  <c r="W18" i="1"/>
  <c r="W12" i="1"/>
  <c r="AZ112" i="1" s="1"/>
  <c r="W28" i="1"/>
  <c r="W29" i="1"/>
  <c r="AZ118" i="1" s="1"/>
  <c r="W60" i="1"/>
  <c r="AZ153" i="1" s="1"/>
  <c r="W92" i="1"/>
  <c r="AZ124" i="1" s="1"/>
  <c r="W124" i="1"/>
  <c r="AZ156" i="1" s="1"/>
  <c r="W125" i="1"/>
  <c r="AZ162" i="1" s="1"/>
  <c r="W127" i="1"/>
  <c r="AZ87" i="1" s="1"/>
  <c r="W108" i="1"/>
  <c r="AZ61" i="1"/>
  <c r="W15" i="1"/>
  <c r="W156" i="1"/>
  <c r="W157" i="1"/>
  <c r="W159" i="1"/>
  <c r="AZ75" i="1" s="1"/>
  <c r="W168" i="1"/>
  <c r="W172" i="1"/>
  <c r="W45" i="1"/>
  <c r="AZ4" i="1" s="1"/>
  <c r="W61" i="1"/>
  <c r="AZ84" i="1" s="1"/>
  <c r="W13" i="1"/>
  <c r="W44" i="1"/>
  <c r="W95" i="1"/>
  <c r="W171" i="1"/>
  <c r="AZ155" i="1" s="1"/>
  <c r="W63" i="1"/>
  <c r="AZ147" i="1" s="1"/>
  <c r="W170" i="1"/>
  <c r="AZ88" i="1" s="1"/>
  <c r="W154" i="1"/>
  <c r="AZ106" i="1" s="1"/>
  <c r="W138" i="1"/>
  <c r="AZ166" i="1" s="1"/>
  <c r="W122" i="1"/>
  <c r="AZ163" i="1" s="1"/>
  <c r="W106" i="1"/>
  <c r="AZ109" i="1" s="1"/>
  <c r="W90" i="1"/>
  <c r="AZ19" i="1" s="1"/>
  <c r="W74" i="1"/>
  <c r="W58" i="1"/>
  <c r="AZ137" i="1" s="1"/>
  <c r="W42" i="1"/>
  <c r="W26" i="1"/>
  <c r="AZ97" i="1" s="1"/>
  <c r="W10" i="1"/>
  <c r="W6" i="1"/>
  <c r="AZ81" i="1" s="1"/>
  <c r="W47" i="1"/>
  <c r="AZ85" i="1" s="1"/>
  <c r="W117" i="1"/>
  <c r="W31" i="1"/>
  <c r="AZ146" i="1" s="1"/>
  <c r="W169" i="1"/>
  <c r="AZ105" i="1" s="1"/>
  <c r="W153" i="1"/>
  <c r="AZ172" i="1" s="1"/>
  <c r="W137" i="1"/>
  <c r="AZ168" i="1" s="1"/>
  <c r="W121" i="1"/>
  <c r="AZ125" i="1" s="1"/>
  <c r="W105" i="1"/>
  <c r="AZ76" i="1" s="1"/>
  <c r="W89" i="1"/>
  <c r="AZ86" i="1" s="1"/>
  <c r="W73" i="1"/>
  <c r="W57" i="1"/>
  <c r="W41" i="1"/>
  <c r="W25" i="1"/>
  <c r="AZ74" i="1" s="1"/>
  <c r="W9" i="1"/>
  <c r="W160" i="1"/>
  <c r="AZ114" i="1" s="1"/>
  <c r="W144" i="1"/>
  <c r="AZ107" i="1" s="1"/>
  <c r="W128" i="1"/>
  <c r="W112" i="1"/>
  <c r="AZ80" i="1" s="1"/>
  <c r="W96" i="1"/>
  <c r="AZ145" i="1" s="1"/>
  <c r="W80" i="1"/>
  <c r="W64" i="1"/>
  <c r="W48" i="1"/>
  <c r="W4" i="1"/>
  <c r="AZ22" i="1" s="1"/>
  <c r="W158" i="1"/>
  <c r="W142" i="1"/>
  <c r="AZ164" i="1" s="1"/>
  <c r="W126" i="1"/>
  <c r="AZ161" i="1" s="1"/>
  <c r="W62" i="1"/>
  <c r="AZ139" i="1" s="1"/>
  <c r="W46" i="1"/>
  <c r="AZ149" i="1" s="1"/>
  <c r="W30" i="1"/>
  <c r="AZ117" i="1" s="1"/>
  <c r="W113" i="1"/>
  <c r="AZ92" i="1" s="1"/>
  <c r="W155" i="1"/>
  <c r="W139" i="1"/>
  <c r="AZ170" i="1" s="1"/>
  <c r="W123" i="1"/>
  <c r="AZ83" i="1" s="1"/>
  <c r="W107" i="1"/>
  <c r="W91" i="1"/>
  <c r="AZ104" i="1" s="1"/>
  <c r="W75" i="1"/>
  <c r="AZ148" i="1" s="1"/>
  <c r="W59" i="1"/>
  <c r="AZ59" i="1" s="1"/>
  <c r="W43" i="1"/>
  <c r="AZ140" i="1" s="1"/>
  <c r="W27" i="1"/>
  <c r="AZ171" i="1" s="1"/>
  <c r="W11" i="1"/>
  <c r="AZ138" i="1" s="1"/>
  <c r="W163" i="1"/>
  <c r="AZ71" i="1" s="1"/>
  <c r="W131" i="1"/>
  <c r="AZ89" i="1" s="1"/>
  <c r="W99" i="1"/>
  <c r="AZ96" i="1" s="1"/>
  <c r="W67" i="1"/>
  <c r="W35" i="1"/>
  <c r="AZ100" i="1" s="1"/>
  <c r="W147" i="1"/>
  <c r="AZ78" i="1" s="1"/>
  <c r="W115" i="1"/>
  <c r="W83" i="1"/>
  <c r="AZ152" i="1" s="1"/>
  <c r="W51" i="1"/>
  <c r="W19" i="1"/>
  <c r="W162" i="1"/>
  <c r="AZ115" i="1" s="1"/>
  <c r="W146" i="1"/>
  <c r="AZ108" i="1" s="1"/>
  <c r="W130" i="1"/>
  <c r="W114" i="1"/>
  <c r="AZ158" i="1" s="1"/>
  <c r="W98" i="1"/>
  <c r="W82" i="1"/>
  <c r="W66" i="1"/>
  <c r="AZ94" i="1" s="1"/>
  <c r="W50" i="1"/>
  <c r="W34" i="1"/>
  <c r="W161" i="1"/>
  <c r="AZ91" i="1" s="1"/>
  <c r="W97" i="1"/>
  <c r="AZ79" i="1" s="1"/>
  <c r="W81" i="1"/>
  <c r="AZ151" i="1" s="1"/>
  <c r="W65" i="1"/>
  <c r="W49" i="1"/>
  <c r="W33" i="1"/>
  <c r="AZ111" i="1" s="1"/>
  <c r="W17" i="1"/>
  <c r="AZ160" i="1" s="1"/>
  <c r="W145" i="1"/>
  <c r="AZ113" i="1" s="1"/>
  <c r="W32" i="1"/>
  <c r="AZ144" i="1" s="1"/>
  <c r="W16" i="1"/>
  <c r="AZ131" i="1" s="1"/>
  <c r="W129" i="1"/>
  <c r="W7" i="1"/>
  <c r="AZ141" i="1" s="1"/>
  <c r="W104" i="1"/>
  <c r="AZ136" i="1" s="1"/>
  <c r="W40" i="1"/>
  <c r="AZ133" i="1" s="1"/>
  <c r="W167" i="1"/>
  <c r="AZ119" i="1" s="1"/>
  <c r="W119" i="1"/>
  <c r="W103" i="1"/>
  <c r="AZ110" i="1" s="1"/>
  <c r="W87" i="1"/>
  <c r="AZ93" i="1" s="1"/>
  <c r="W72" i="1"/>
  <c r="W55" i="1"/>
  <c r="AZ82" i="1" s="1"/>
  <c r="W39" i="1"/>
  <c r="AZ123" i="1" s="1"/>
  <c r="W23" i="1"/>
  <c r="W120" i="1"/>
  <c r="AZ122" i="1" s="1"/>
  <c r="W71" i="1"/>
  <c r="AZ128" i="1" s="1"/>
  <c r="W24" i="1"/>
  <c r="AZ121" i="1" s="1"/>
  <c r="W150" i="1"/>
  <c r="AZ150" i="1" s="1"/>
  <c r="W102" i="1"/>
  <c r="W70" i="1"/>
  <c r="AZ173" i="1" s="1"/>
  <c r="W38" i="1"/>
  <c r="AZ72" i="1" s="1"/>
  <c r="W22" i="1"/>
  <c r="W136" i="1"/>
  <c r="AZ126" i="1" s="1"/>
  <c r="W56" i="1"/>
  <c r="W151" i="1"/>
  <c r="W118" i="1"/>
  <c r="W54" i="1"/>
  <c r="AZ73" i="1" s="1"/>
  <c r="W133" i="1"/>
  <c r="AZ120" i="1" s="1"/>
  <c r="W101" i="1"/>
  <c r="W53" i="1"/>
  <c r="AZ99" i="1" s="1"/>
  <c r="W5" i="1"/>
  <c r="AZ134" i="1" s="1"/>
  <c r="W152" i="1"/>
  <c r="AZ68" i="1" s="1"/>
  <c r="W88" i="1"/>
  <c r="W8" i="1"/>
  <c r="AZ95" i="1" s="1"/>
  <c r="W135" i="1"/>
  <c r="W166" i="1"/>
  <c r="W134" i="1"/>
  <c r="W86" i="1"/>
  <c r="W165" i="1"/>
  <c r="AZ142" i="1" s="1"/>
  <c r="W149" i="1"/>
  <c r="AZ116" i="1" s="1"/>
  <c r="W85" i="1"/>
  <c r="AZ130" i="1" s="1"/>
  <c r="W69" i="1"/>
  <c r="AZ129" i="1" s="1"/>
  <c r="W37" i="1"/>
  <c r="AZ143" i="1" s="1"/>
  <c r="W21" i="1"/>
  <c r="W164" i="1"/>
  <c r="AZ103" i="1" s="1"/>
  <c r="W148" i="1"/>
  <c r="AZ102" i="1" s="1"/>
  <c r="W132" i="1"/>
  <c r="W116" i="1"/>
  <c r="W100" i="1"/>
  <c r="W84" i="1"/>
  <c r="AZ132" i="1" s="1"/>
  <c r="W68" i="1"/>
  <c r="W52" i="1"/>
  <c r="W36" i="1"/>
  <c r="W20" i="1"/>
  <c r="AZ127" i="1" s="1"/>
  <c r="W110" i="1"/>
  <c r="AZ159" i="1" s="1"/>
  <c r="W94" i="1"/>
  <c r="AZ135" i="1" s="1"/>
  <c r="W78" i="1"/>
  <c r="AZ167" i="1" s="1"/>
  <c r="W14" i="1"/>
  <c r="AZ15" i="1" l="1"/>
  <c r="AZ12" i="1"/>
  <c r="AZ27" i="1"/>
  <c r="AZ11" i="1"/>
  <c r="AZ28" i="1"/>
  <c r="AZ21" i="1"/>
  <c r="AZ10" i="1"/>
  <c r="AZ5" i="1"/>
  <c r="AZ17" i="1"/>
  <c r="AZ13" i="1"/>
  <c r="AZ26" i="1"/>
  <c r="AZ52" i="1"/>
  <c r="AZ77" i="1"/>
  <c r="AZ45" i="1"/>
  <c r="AZ101" i="1"/>
  <c r="AZ49" i="1"/>
  <c r="AZ70" i="1"/>
  <c r="AZ20" i="1"/>
  <c r="AZ48" i="1"/>
  <c r="AZ35" i="1"/>
  <c r="AZ30" i="1"/>
  <c r="AZ51" i="1"/>
  <c r="AZ53" i="1"/>
  <c r="AZ6" i="1"/>
  <c r="AZ67" i="1"/>
  <c r="AZ63" i="1"/>
  <c r="AZ23" i="1"/>
  <c r="AZ34" i="1"/>
  <c r="AZ66" i="1"/>
  <c r="AZ18" i="1"/>
  <c r="AZ64" i="1"/>
  <c r="AZ24" i="1"/>
  <c r="AZ9" i="1"/>
  <c r="AZ54" i="1"/>
  <c r="AZ55" i="1"/>
  <c r="AZ29" i="1"/>
  <c r="AZ47" i="1"/>
  <c r="AZ60" i="1"/>
  <c r="AZ36" i="1"/>
  <c r="AZ40" i="1"/>
  <c r="AZ8" i="1"/>
  <c r="AZ7" i="1"/>
  <c r="AZ41" i="1"/>
  <c r="AZ46" i="1"/>
  <c r="AZ65" i="1"/>
  <c r="AZ69" i="1"/>
  <c r="AZ39" i="1"/>
  <c r="AZ50" i="1"/>
  <c r="AZ38" i="1"/>
  <c r="AZ44" i="1"/>
  <c r="AZ33" i="1"/>
  <c r="AZ31" i="1"/>
  <c r="AZ62" i="1"/>
  <c r="AZ37" i="1"/>
  <c r="AZ56" i="1"/>
  <c r="AZ57" i="1"/>
  <c r="AZ25" i="1"/>
  <c r="AZ43" i="1"/>
  <c r="AZ14" i="1"/>
  <c r="AZ42" i="1"/>
  <c r="AZ32" i="1"/>
  <c r="AZ58" i="1"/>
  <c r="AZ16" i="1"/>
</calcChain>
</file>

<file path=xl/sharedStrings.xml><?xml version="1.0" encoding="utf-8"?>
<sst xmlns="http://schemas.openxmlformats.org/spreadsheetml/2006/main" count="895" uniqueCount="489">
  <si>
    <t>KTX</t>
  </si>
  <si>
    <t>BLS</t>
  </si>
  <si>
    <t>KRUNGSRI</t>
  </si>
  <si>
    <t>YUANTA</t>
  </si>
  <si>
    <t>INVX</t>
  </si>
  <si>
    <t>FINANSIA</t>
  </si>
  <si>
    <t>DAOL</t>
  </si>
  <si>
    <t>PI</t>
  </si>
  <si>
    <t>GLOBLEX</t>
  </si>
  <si>
    <t>MAYBANK</t>
  </si>
  <si>
    <t>ASL</t>
  </si>
  <si>
    <t>AIRA</t>
  </si>
  <si>
    <t>KTCIO</t>
  </si>
  <si>
    <t>AAPL</t>
  </si>
  <si>
    <t>ABBV</t>
  </si>
  <si>
    <t>ADBE</t>
  </si>
  <si>
    <t>*INVX 2567</t>
  </si>
  <si>
    <t>ADVANT</t>
  </si>
  <si>
    <t>AIA</t>
  </si>
  <si>
    <t>AMD</t>
  </si>
  <si>
    <t>AMZN</t>
  </si>
  <si>
    <t>ANTA</t>
  </si>
  <si>
    <t>ASEMI</t>
  </si>
  <si>
    <t>ASML</t>
  </si>
  <si>
    <t>AVGO</t>
  </si>
  <si>
    <t>BABA</t>
  </si>
  <si>
    <t>BAC</t>
  </si>
  <si>
    <t>BDX</t>
  </si>
  <si>
    <t>BIDU</t>
  </si>
  <si>
    <t>BKNG</t>
  </si>
  <si>
    <t>BONDAS</t>
  </si>
  <si>
    <t>BRKB</t>
  </si>
  <si>
    <t>*PI 2567</t>
  </si>
  <si>
    <t>BYDCOM</t>
  </si>
  <si>
    <t>CATL</t>
  </si>
  <si>
    <t>CHHONGQ</t>
  </si>
  <si>
    <t>CHMOBILE</t>
  </si>
  <si>
    <t>CHNXT50</t>
  </si>
  <si>
    <t>CMBANK</t>
  </si>
  <si>
    <t>CN</t>
  </si>
  <si>
    <t>CNBIO</t>
  </si>
  <si>
    <t>CNEV</t>
  </si>
  <si>
    <t>CNROBOAI</t>
  </si>
  <si>
    <t>CNSEMI</t>
  </si>
  <si>
    <t>CNSTAR50</t>
  </si>
  <si>
    <t>CNTECH</t>
  </si>
  <si>
    <t>COSTCO</t>
  </si>
  <si>
    <t>CRWD</t>
  </si>
  <si>
    <t>CSCO</t>
  </si>
  <si>
    <t>DBS</t>
  </si>
  <si>
    <t>DELL</t>
  </si>
  <si>
    <t>DISNEY</t>
  </si>
  <si>
    <t>ESTEE</t>
  </si>
  <si>
    <t>FERRARI</t>
  </si>
  <si>
    <t>FPTVN</t>
  </si>
  <si>
    <t>FUEVFVND</t>
  </si>
  <si>
    <t>GASVN</t>
  </si>
  <si>
    <t>GEELY</t>
  </si>
  <si>
    <t>GOLD</t>
  </si>
  <si>
    <t>GOLDUS</t>
  </si>
  <si>
    <t>GOOG</t>
  </si>
  <si>
    <t>GOOGL</t>
  </si>
  <si>
    <t>GRAB</t>
  </si>
  <si>
    <t>GSUS</t>
  </si>
  <si>
    <t>HAIERS</t>
  </si>
  <si>
    <t>HERMES</t>
  </si>
  <si>
    <t>HK</t>
  </si>
  <si>
    <t>HKCE</t>
  </si>
  <si>
    <t>HKEX</t>
  </si>
  <si>
    <t>HKTECH</t>
  </si>
  <si>
    <t>HONDA</t>
  </si>
  <si>
    <t>HOOD</t>
  </si>
  <si>
    <t>HORIZON</t>
  </si>
  <si>
    <t>HPG</t>
  </si>
  <si>
    <t>HSHD</t>
  </si>
  <si>
    <t>HUAHONG</t>
  </si>
  <si>
    <t>ICBC</t>
  </si>
  <si>
    <t>INDIA</t>
  </si>
  <si>
    <t>INDIAESG</t>
  </si>
  <si>
    <t>ITOCHU</t>
  </si>
  <si>
    <t>JAP</t>
  </si>
  <si>
    <t>JAPAN100</t>
  </si>
  <si>
    <t>JAPAN</t>
  </si>
  <si>
    <t>JD</t>
  </si>
  <si>
    <t>JDHEAL</t>
  </si>
  <si>
    <t>JNJ</t>
  </si>
  <si>
    <t>JPMUS</t>
  </si>
  <si>
    <t>KEYENCE</t>
  </si>
  <si>
    <t>KINGSOFT</t>
  </si>
  <si>
    <t>KO</t>
  </si>
  <si>
    <t>KUAISH</t>
  </si>
  <si>
    <t>LENOVO</t>
  </si>
  <si>
    <t>LLY</t>
  </si>
  <si>
    <t>LOREAL</t>
  </si>
  <si>
    <t>LPGOLD</t>
  </si>
  <si>
    <t>LULU</t>
  </si>
  <si>
    <t>LVMH</t>
  </si>
  <si>
    <t>MA</t>
  </si>
  <si>
    <t>MEITUAN</t>
  </si>
  <si>
    <t>MELI</t>
  </si>
  <si>
    <t>META</t>
  </si>
  <si>
    <t>MITSU</t>
  </si>
  <si>
    <t>MNSO</t>
  </si>
  <si>
    <t>MNST</t>
  </si>
  <si>
    <t>MS</t>
  </si>
  <si>
    <t>MSFT</t>
  </si>
  <si>
    <t>MSN</t>
  </si>
  <si>
    <t>MUFG</t>
  </si>
  <si>
    <t>MWG</t>
  </si>
  <si>
    <t>NDAQ</t>
  </si>
  <si>
    <t>NDX</t>
  </si>
  <si>
    <t>NETEASE</t>
  </si>
  <si>
    <t>NFLX</t>
  </si>
  <si>
    <t>NIKE</t>
  </si>
  <si>
    <t>NIKKEI</t>
  </si>
  <si>
    <t>NINTENDO</t>
  </si>
  <si>
    <t>NONGFU</t>
  </si>
  <si>
    <t>NOVOB</t>
  </si>
  <si>
    <t>NVDA</t>
  </si>
  <si>
    <t>OIL</t>
  </si>
  <si>
    <t>ONON</t>
  </si>
  <si>
    <t>ORCL</t>
  </si>
  <si>
    <t>PANW</t>
  </si>
  <si>
    <t>PEP</t>
  </si>
  <si>
    <t>PETROCN</t>
  </si>
  <si>
    <t>PFIZER</t>
  </si>
  <si>
    <t>PINGAN</t>
  </si>
  <si>
    <t>PLTR</t>
  </si>
  <si>
    <t>POPMART</t>
  </si>
  <si>
    <t>QQQM</t>
  </si>
  <si>
    <t>RBLX</t>
  </si>
  <si>
    <t>SANOFI</t>
  </si>
  <si>
    <t>SANRIO</t>
  </si>
  <si>
    <t>SBUX</t>
  </si>
  <si>
    <t>SEMB</t>
  </si>
  <si>
    <t>SENSE</t>
  </si>
  <si>
    <t>SGX</t>
  </si>
  <si>
    <t>SIA</t>
  </si>
  <si>
    <t>SINGTEL</t>
  </si>
  <si>
    <t>SMFG</t>
  </si>
  <si>
    <t>SMIC</t>
  </si>
  <si>
    <t>SNOW</t>
  </si>
  <si>
    <t>SOFTBANK</t>
  </si>
  <si>
    <t>SONY</t>
  </si>
  <si>
    <t>SP500</t>
  </si>
  <si>
    <t>SP500US</t>
  </si>
  <si>
    <t>SPBOND</t>
  </si>
  <si>
    <t>SPCOM</t>
  </si>
  <si>
    <t>SPENGY</t>
  </si>
  <si>
    <t>SPFIN</t>
  </si>
  <si>
    <t>SPHLTH</t>
  </si>
  <si>
    <t>SPOT</t>
  </si>
  <si>
    <t>SPTECH</t>
  </si>
  <si>
    <t>STAR50</t>
  </si>
  <si>
    <t>STEG</t>
  </si>
  <si>
    <t>SUNNY</t>
  </si>
  <si>
    <t>SUSHI</t>
  </si>
  <si>
    <t>TAIWAN</t>
  </si>
  <si>
    <t>TAIWANAI</t>
  </si>
  <si>
    <t>TAIWANHD</t>
  </si>
  <si>
    <t>TEL</t>
  </si>
  <si>
    <t>TENCENT</t>
  </si>
  <si>
    <t>THAIBEV</t>
  </si>
  <si>
    <t>TME</t>
  </si>
  <si>
    <t>TOYOTA</t>
  </si>
  <si>
    <t>TRIPCOM</t>
  </si>
  <si>
    <t>TSLA</t>
  </si>
  <si>
    <t>UBER</t>
  </si>
  <si>
    <t>UBTECH</t>
  </si>
  <si>
    <t>UNH</t>
  </si>
  <si>
    <t>UNIQLO</t>
  </si>
  <si>
    <t>UOB</t>
  </si>
  <si>
    <t>USTR</t>
  </si>
  <si>
    <t>VCB</t>
  </si>
  <si>
    <t>VENTURE</t>
  </si>
  <si>
    <t>VHM</t>
  </si>
  <si>
    <t>VISA</t>
  </si>
  <si>
    <t>*PI2567</t>
  </si>
  <si>
    <t>VNFIN</t>
  </si>
  <si>
    <t>VNM</t>
  </si>
  <si>
    <t>WORLD</t>
  </si>
  <si>
    <t>WUXI</t>
  </si>
  <si>
    <t>WUXIAT</t>
  </si>
  <si>
    <t>XIAOMI</t>
  </si>
  <si>
    <t>ZIJIN</t>
  </si>
  <si>
    <t>E1VFVN30</t>
  </si>
  <si>
    <t>(TECHNICAL)</t>
  </si>
  <si>
    <t>TRINITY</t>
  </si>
  <si>
    <t>*TRINITY 29/01/2568</t>
  </si>
  <si>
    <t>*TRINITY 06/03/2568</t>
  </si>
  <si>
    <t>*TRINITY 21/01/2568</t>
  </si>
  <si>
    <t>*TRINITY 18/02/2568</t>
  </si>
  <si>
    <t>*TRINITY 31/01/2568</t>
  </si>
  <si>
    <t>*TRINITY 20/03/2568</t>
  </si>
  <si>
    <t>*TRINITY 24/02/2568</t>
  </si>
  <si>
    <t>*TRINITY 28/02/2568</t>
  </si>
  <si>
    <t>*TRINITY 05/02/2568</t>
  </si>
  <si>
    <t>*TRINITY 05/03/2568</t>
  </si>
  <si>
    <t>*TRINITY 13/01/2568</t>
  </si>
  <si>
    <t>TECHNICAL</t>
  </si>
  <si>
    <t>FUNDAMENTAL</t>
  </si>
  <si>
    <t>TOTAL PAPER</t>
  </si>
  <si>
    <t>VALUE ('000 BAHT)</t>
  </si>
  <si>
    <t>รายได้ ค่านายหน้า</t>
  </si>
  <si>
    <t>2568 (ครึ่งแรก)</t>
  </si>
  <si>
    <t>TOTAL COVER</t>
  </si>
  <si>
    <t>2566</t>
  </si>
  <si>
    <t>2567</t>
  </si>
  <si>
    <t>sum REV</t>
  </si>
  <si>
    <t>sum REV2</t>
  </si>
  <si>
    <t>SUM Rev 66-67</t>
  </si>
  <si>
    <t>-</t>
  </si>
  <si>
    <t>ราคาล่าสุด</t>
  </si>
  <si>
    <t>AMD80</t>
  </si>
  <si>
    <t>AMZN80</t>
  </si>
  <si>
    <t>ESTEE80</t>
  </si>
  <si>
    <t>GOOG80</t>
  </si>
  <si>
    <t>LLY80</t>
  </si>
  <si>
    <t>NOVOB80</t>
  </si>
  <si>
    <t>META80</t>
  </si>
  <si>
    <t>TSLA80</t>
  </si>
  <si>
    <t>BRKB80</t>
  </si>
  <si>
    <t>MSFT80</t>
  </si>
  <si>
    <t>NFLX80</t>
  </si>
  <si>
    <t>PLTR06</t>
  </si>
  <si>
    <t>AVGO80</t>
  </si>
  <si>
    <t>PEP80</t>
  </si>
  <si>
    <t>KO80</t>
  </si>
  <si>
    <t>ADBE06</t>
  </si>
  <si>
    <t>MELI06</t>
  </si>
  <si>
    <t>NFLX06</t>
  </si>
  <si>
    <t>SBUX80</t>
  </si>
  <si>
    <t>LULU06</t>
  </si>
  <si>
    <t>AAPL80</t>
  </si>
  <si>
    <t>SNOW06</t>
  </si>
  <si>
    <t>PLTR03</t>
  </si>
  <si>
    <t>HOOD06</t>
  </si>
  <si>
    <t>RBLX06</t>
  </si>
  <si>
    <t>ONON03</t>
  </si>
  <si>
    <t>DELL19</t>
  </si>
  <si>
    <t>ORCL19</t>
  </si>
  <si>
    <t>PANW80</t>
  </si>
  <si>
    <t>NVDA80</t>
  </si>
  <si>
    <t>UNH19</t>
  </si>
  <si>
    <t>GOOGL03</t>
  </si>
  <si>
    <t>VISA80</t>
  </si>
  <si>
    <t>ADBE03</t>
  </si>
  <si>
    <t>VISA06</t>
  </si>
  <si>
    <t>AMZN06</t>
  </si>
  <si>
    <t>CRWD06</t>
  </si>
  <si>
    <t>MSFT01</t>
  </si>
  <si>
    <t>PFIZER19</t>
  </si>
  <si>
    <t>GSUS06</t>
  </si>
  <si>
    <t>CRWD80</t>
  </si>
  <si>
    <t>MA80</t>
  </si>
  <si>
    <t>NVDA01</t>
  </si>
  <si>
    <t>QQQM19</t>
  </si>
  <si>
    <t>LOREAL80</t>
  </si>
  <si>
    <t>META01</t>
  </si>
  <si>
    <t>GOLDUS19</t>
  </si>
  <si>
    <t>MSFT06</t>
  </si>
  <si>
    <t>GRAB80</t>
  </si>
  <si>
    <t>GOOGL01</t>
  </si>
  <si>
    <t>NVDA19</t>
  </si>
  <si>
    <t>CSCO06</t>
  </si>
  <si>
    <t>AMZN01</t>
  </si>
  <si>
    <t>HERMES80</t>
  </si>
  <si>
    <t>ORCL06</t>
  </si>
  <si>
    <t>BDX06</t>
  </si>
  <si>
    <t>BKNG80</t>
  </si>
  <si>
    <t>NDAQ06</t>
  </si>
  <si>
    <t>UBER06</t>
  </si>
  <si>
    <t>NIKE80</t>
  </si>
  <si>
    <t>SP500US80</t>
  </si>
  <si>
    <t>NVDA06</t>
  </si>
  <si>
    <t>ASML01</t>
  </si>
  <si>
    <t>SPENGY80</t>
  </si>
  <si>
    <t>JPMUS06</t>
  </si>
  <si>
    <t>NVDA03</t>
  </si>
  <si>
    <t>JNJ03</t>
  </si>
  <si>
    <t>FERRARI80</t>
  </si>
  <si>
    <t>TSLA03</t>
  </si>
  <si>
    <t>META06</t>
  </si>
  <si>
    <t>ABBV19</t>
  </si>
  <si>
    <t>LVMH01</t>
  </si>
  <si>
    <t>AAPL03</t>
  </si>
  <si>
    <t>TSLA01</t>
  </si>
  <si>
    <t>MS06</t>
  </si>
  <si>
    <t>AAPL01</t>
  </si>
  <si>
    <t>SPOT06</t>
  </si>
  <si>
    <t>COSTCO19</t>
  </si>
  <si>
    <t>MNST06</t>
  </si>
  <si>
    <t>SPBOND80</t>
  </si>
  <si>
    <t>SP500US19</t>
  </si>
  <si>
    <t>SANOFI80</t>
  </si>
  <si>
    <t>JPMUS19</t>
  </si>
  <si>
    <t>SPFIN80</t>
  </si>
  <si>
    <t>BAC03</t>
  </si>
  <si>
    <t>BKNG03</t>
  </si>
  <si>
    <t>SPTECH80</t>
  </si>
  <si>
    <t>SPCOM80</t>
  </si>
  <si>
    <t>SPHLTH80</t>
  </si>
  <si>
    <t>DISNEY19</t>
  </si>
  <si>
    <t>สินทรัพย์อ้างอิง</t>
  </si>
  <si>
    <t>รายได้ ค่าธรรมเนียม และ บริการ</t>
  </si>
  <si>
    <t>สินทรัพย์</t>
  </si>
  <si>
    <t>VOLUME</t>
  </si>
  <si>
    <t>ณัฐิมาศ อัครภาณุวิทยา</t>
  </si>
  <si>
    <t>พีรณัฐ ยืนยงพิสิฐ, CFA</t>
  </si>
  <si>
    <t>ณฤทัย จองหยิน</t>
  </si>
  <si>
    <t>พุฒิธร พาชีทูล</t>
  </si>
  <si>
    <t>สิทธิชัย ดวงรัตนฉายา</t>
  </si>
  <si>
    <t>ชานน เพ็ญดารา</t>
  </si>
  <si>
    <t>ธนาวดี รัตนแสง</t>
  </si>
  <si>
    <t>ทัตพงศ์ วงศ์สินธน</t>
  </si>
  <si>
    <t>กฤช โคมิน</t>
  </si>
  <si>
    <t>อภิณัฐ วชีระโวทาน</t>
  </si>
  <si>
    <t>ณัฐธยาน์ เกรียงไกรวณิช</t>
  </si>
  <si>
    <t>Pridi Luprasit</t>
  </si>
  <si>
    <t>Natchapon Praesicharoen</t>
  </si>
  <si>
    <t>Thanaphong Charoenwattanakit</t>
  </si>
  <si>
    <t>Koraphat Vorachet</t>
  </si>
  <si>
    <t>Chanchai Pattanathummasid</t>
  </si>
  <si>
    <t>Achirakorn, Sukawatcharanon</t>
  </si>
  <si>
    <t>วรัท บางเจริญพรพงค์, CFP</t>
  </si>
  <si>
    <t>นิธิกร พิศกนก, CFP</t>
  </si>
  <si>
    <t>สินีรัตน์ จักรพันธุ์ ณ อยุธยา, CFA</t>
  </si>
  <si>
    <t>พศุตม์ โถมนาการ</t>
  </si>
  <si>
    <t>ภานรินทร์ สื่อจินดาภรณ</t>
  </si>
  <si>
    <t>Suwat Sinsadok, CFA, FRM, ERP</t>
  </si>
  <si>
    <t>Peerayu Sirivorawong</t>
  </si>
  <si>
    <t>ณรงค์เดช จันทรไพศาล</t>
  </si>
  <si>
    <t>วรภัทร เบญจาพุทธารักษ</t>
  </si>
  <si>
    <t>กมลชัย พลอินทวงษ์</t>
  </si>
  <si>
    <t>Pannawitch Ritthasirhinan</t>
  </si>
  <si>
    <t>ดร. จิติพล พฤกษาเมธานันท</t>
  </si>
  <si>
    <t>ชุติปภา ภวสันต์</t>
  </si>
  <si>
    <t>ปณฑารีย์ เถือนถนอม</t>
  </si>
  <si>
    <t>ธนัชชา เชษฐโชติศักดิ</t>
  </si>
  <si>
    <t>จิรายุทธ ตังจิตรเจริญ</t>
  </si>
  <si>
    <t>จำนวนนักวิเคราะห์</t>
  </si>
  <si>
    <t>หลักทรัพย์</t>
  </si>
  <si>
    <t>จำนวน (หน่วย)</t>
  </si>
  <si>
    <t>ADVANT23</t>
  </si>
  <si>
    <t>AIA06</t>
  </si>
  <si>
    <t>AIA19</t>
  </si>
  <si>
    <t>AIA23</t>
  </si>
  <si>
    <t>ANTA23</t>
  </si>
  <si>
    <t>ASEMI24</t>
  </si>
  <si>
    <t>BABA01</t>
  </si>
  <si>
    <t>BABA06</t>
  </si>
  <si>
    <t>BABA13</t>
  </si>
  <si>
    <t>BABA23</t>
  </si>
  <si>
    <t>BABA80</t>
  </si>
  <si>
    <t>BIDU01</t>
  </si>
  <si>
    <t>BIDU06</t>
  </si>
  <si>
    <t>BIDU23</t>
  </si>
  <si>
    <t>BIDU80</t>
  </si>
  <si>
    <t>BONDAS19</t>
  </si>
  <si>
    <t>BYDCOM01</t>
  </si>
  <si>
    <t>BYDCOM80</t>
  </si>
  <si>
    <t>CATL01</t>
  </si>
  <si>
    <t>CATL23</t>
  </si>
  <si>
    <t>CATL80</t>
  </si>
  <si>
    <t>CHHONGQ19</t>
  </si>
  <si>
    <t>CHMOBILE19</t>
  </si>
  <si>
    <t>CHNXT5023</t>
  </si>
  <si>
    <t>CMBANK23</t>
  </si>
  <si>
    <t>CN01</t>
  </si>
  <si>
    <t>CN23</t>
  </si>
  <si>
    <t>CNBIO24</t>
  </si>
  <si>
    <t>CNEV24</t>
  </si>
  <si>
    <t>CNROBOAI23</t>
  </si>
  <si>
    <t>CNSEMI23</t>
  </si>
  <si>
    <t>CNSTAR5023</t>
  </si>
  <si>
    <t>CNTECH01</t>
  </si>
  <si>
    <t>DBS19</t>
  </si>
  <si>
    <t>E1VFVN3001</t>
  </si>
  <si>
    <t>FPTVN11</t>
  </si>
  <si>
    <t>FPTVN19</t>
  </si>
  <si>
    <t>FUEVFVND01</t>
  </si>
  <si>
    <t>GASVN11</t>
  </si>
  <si>
    <t>GEELY06</t>
  </si>
  <si>
    <t>GEELY80</t>
  </si>
  <si>
    <t>GOLD03</t>
  </si>
  <si>
    <t>GOLD19</t>
  </si>
  <si>
    <t>HAIERS19</t>
  </si>
  <si>
    <t>HK01</t>
  </si>
  <si>
    <t>HK13</t>
  </si>
  <si>
    <t>HKCE01</t>
  </si>
  <si>
    <t>HKEX23</t>
  </si>
  <si>
    <t>HKTECH13</t>
  </si>
  <si>
    <t>HONDA19</t>
  </si>
  <si>
    <t>HORIZON23</t>
  </si>
  <si>
    <t>HPG19</t>
  </si>
  <si>
    <t>HSHD23</t>
  </si>
  <si>
    <t>HUAHONG23</t>
  </si>
  <si>
    <t>ICBC06</t>
  </si>
  <si>
    <t>ICBC19</t>
  </si>
  <si>
    <t>INDIA01</t>
  </si>
  <si>
    <t>INDIAESG19</t>
  </si>
  <si>
    <t>ITOCHU19</t>
  </si>
  <si>
    <t>JAP03</t>
  </si>
  <si>
    <t>JAPAN10001</t>
  </si>
  <si>
    <t>JAPAN13</t>
  </si>
  <si>
    <t>JD80</t>
  </si>
  <si>
    <t>JDHEAL19</t>
  </si>
  <si>
    <t>KEYENCE23</t>
  </si>
  <si>
    <t>KINGSOFT23</t>
  </si>
  <si>
    <t>KUAISH06</t>
  </si>
  <si>
    <t>KUAISH23</t>
  </si>
  <si>
    <t>KUAISH80</t>
  </si>
  <si>
    <t>LENOVO13</t>
  </si>
  <si>
    <t>LPGOLD13</t>
  </si>
  <si>
    <t>MEITUAN19</t>
  </si>
  <si>
    <t>MEITUAN80</t>
  </si>
  <si>
    <t>MITSU19</t>
  </si>
  <si>
    <t>MNSO80</t>
  </si>
  <si>
    <t>MSN11</t>
  </si>
  <si>
    <t>MUFG19</t>
  </si>
  <si>
    <t>MWG11</t>
  </si>
  <si>
    <t>MWG19</t>
  </si>
  <si>
    <t>NDX01</t>
  </si>
  <si>
    <t>NETEASE80</t>
  </si>
  <si>
    <t>NIKKEI80</t>
  </si>
  <si>
    <t>NINTENDO19</t>
  </si>
  <si>
    <t>NINTENDO23</t>
  </si>
  <si>
    <t>NONGFU80</t>
  </si>
  <si>
    <t>OIL03</t>
  </si>
  <si>
    <t>PETROCN80</t>
  </si>
  <si>
    <t>PINGAN01</t>
  </si>
  <si>
    <t>PINGAN80</t>
  </si>
  <si>
    <t>POPMART23</t>
  </si>
  <si>
    <t>POPMART80</t>
  </si>
  <si>
    <t>SANRIO23</t>
  </si>
  <si>
    <t>SEMB19</t>
  </si>
  <si>
    <t>SENSE23</t>
  </si>
  <si>
    <t>SGX19</t>
  </si>
  <si>
    <t>SIA19</t>
  </si>
  <si>
    <t>SINGTEL80</t>
  </si>
  <si>
    <t>SMFG19</t>
  </si>
  <si>
    <t>SMIC13</t>
  </si>
  <si>
    <t>SMIC23</t>
  </si>
  <si>
    <t>SOFTBANK23</t>
  </si>
  <si>
    <t>SONY80</t>
  </si>
  <si>
    <t>SP50001</t>
  </si>
  <si>
    <t>STAR5001</t>
  </si>
  <si>
    <t>STEG19</t>
  </si>
  <si>
    <t>SUNNY19</t>
  </si>
  <si>
    <t>SUSHI23</t>
  </si>
  <si>
    <t>TAIWAN19</t>
  </si>
  <si>
    <t>TAIWANAI13</t>
  </si>
  <si>
    <t>TAIWANHD13</t>
  </si>
  <si>
    <t>TEL23</t>
  </si>
  <si>
    <t>TENCENT01</t>
  </si>
  <si>
    <t>TENCENT06</t>
  </si>
  <si>
    <t>TENCENT13</t>
  </si>
  <si>
    <t>TENCENT19</t>
  </si>
  <si>
    <t>TENCENT80</t>
  </si>
  <si>
    <t>THAIBEV19</t>
  </si>
  <si>
    <t>TME23</t>
  </si>
  <si>
    <t>TOYOTA80</t>
  </si>
  <si>
    <t>TRIPCOM23</t>
  </si>
  <si>
    <t>TRIPCOM80</t>
  </si>
  <si>
    <t>UBTECH23</t>
  </si>
  <si>
    <t>UNIQLO80</t>
  </si>
  <si>
    <t>UOB19</t>
  </si>
  <si>
    <t>USTR24</t>
  </si>
  <si>
    <t>VCB11</t>
  </si>
  <si>
    <t>VCB19</t>
  </si>
  <si>
    <t>VENTURE19</t>
  </si>
  <si>
    <t>VHM19</t>
  </si>
  <si>
    <t>VNFIN24</t>
  </si>
  <si>
    <t>VNM19</t>
  </si>
  <si>
    <t>WORLD03</t>
  </si>
  <si>
    <t>WUXI06</t>
  </si>
  <si>
    <t>WUXI13</t>
  </si>
  <si>
    <t>WUXIAT80</t>
  </si>
  <si>
    <t>XIAOMI01</t>
  </si>
  <si>
    <t>XIAOMI13</t>
  </si>
  <si>
    <t>XIAOMI19</t>
  </si>
  <si>
    <t>XIAOMI23</t>
  </si>
  <si>
    <t>XIAOMI80</t>
  </si>
  <si>
    <t>ZIJIN13</t>
  </si>
  <si>
    <t>ZIJIN80</t>
  </si>
  <si>
    <t>Volume</t>
  </si>
  <si>
    <r>
      <t xml:space="preserve">ANTA13 </t>
    </r>
    <r>
      <rPr>
        <sz val="11"/>
        <color rgb="FFFF0000"/>
        <rFont val="Aptos Narrow"/>
        <family val="2"/>
        <scheme val="minor"/>
      </rPr>
      <t>07/01/2026</t>
    </r>
  </si>
  <si>
    <t>ณ วันที่ 8 ม.ค. 2026</t>
  </si>
  <si>
    <t>ออกเอง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</si>
</sst>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฿&quot;#,##0.00;[Red]\-&quot;฿&quot;#,##0.00"/>
    <numFmt numFmtId="165" formatCode="_-* #,##0_-;\-* #,##0_-;_-* &quot;-&quot;_-;_-@_-"/>
    <numFmt numFmtId="166" formatCode="_-* #,##0.00_-;\-* #,##0.00_-;_-* &quot;-&quot;??_-;_-@_-"/>
    <numFmt numFmtId="167" formatCode="#,##0;\(#,##0\);&quot;-&quot;;@"/>
    <numFmt numFmtId="168" formatCode="#,##0;\(#,##0\)"/>
    <numFmt numFmtId="169" formatCode="#,##0.00;\(#,##0.00\)"/>
    <numFmt numFmtId="170" formatCode="_-&quot;฿&quot;* #,##0_-;\-&quot;฿&quot;* #,##0_-;_-&quot;฿&quot;* &quot;-&quot;_-;_-@_-"/>
    <numFmt numFmtId="171" formatCode="_-&quot;฿&quot;* #,##0.00_-;\-&quot;฿&quot;* #,##0.00_-;_-&quot;฿&quot;* &quot;-&quot;??_-;_-@_-"/>
    <numFmt numFmtId="172" formatCode="#,##0.00\ &quot;F&quot;;\-#,##0.00\ &quot;F&quot;"/>
    <numFmt numFmtId="173" formatCode="dd\-mmm\-yy_)"/>
    <numFmt numFmtId="174" formatCode="0.0%"/>
    <numFmt numFmtId="175" formatCode="0.00_)"/>
    <numFmt numFmtId="176" formatCode="_-* #,##0.00\ _€_-;\-* #,##0.00\ _€_-;_-* &quot;-&quot;??\ _€_-;_-@_-"/>
    <numFmt numFmtId="177" formatCode="_-* #,##0_-;\-* #,##0_-;_-* &quot;-&quot;??_-;_-@_-"/>
    <numFmt numFmtId="178" formatCode="0,,"/>
    <numFmt numFmtId="179" formatCode="#,##0.0"/>
    <numFmt numFmtId="180" formatCode="#,##0,"/>
    <numFmt numFmtId="181" formatCode="_-[$€-2]* #,##0.00_-;\-[$€-2]* #,##0.00_-;_-[$€-2]* &quot;-&quot;??_-"/>
    <numFmt numFmtId="182" formatCode="_-* #,##0\ _F_-;\-* #,##0\ _F_-;_-* &quot;-&quot;\ _F_-;_-@_-"/>
    <numFmt numFmtId="183" formatCode="General_)"/>
    <numFmt numFmtId="184" formatCode="0.000"/>
    <numFmt numFmtId="185" formatCode="#,##0.00000"/>
    <numFmt numFmtId="186" formatCode="_-* #,##0.00\ &quot;F&quot;_-;\-* #,##0.00\ &quot;F&quot;_-;_-* &quot;-&quot;??\ &quot;F&quot;_-;_-@_-"/>
    <numFmt numFmtId="187" formatCode="#,##0.000"/>
    <numFmt numFmtId="188" formatCode="_-* #,##0.00\ _F_-;\-* #,##0.00\ _F_-;_-* &quot;-&quot;??\ _F_-;_-@_-"/>
    <numFmt numFmtId="189" formatCode="_([$€-2]* #,##0.00_);_([$€-2]* \(#,##0.00\);_([$€-2]* &quot;-&quot;??_)"/>
    <numFmt numFmtId="190" formatCode="* \(#,##0\);* #,##0_);&quot;-&quot;??_);@"/>
    <numFmt numFmtId="191" formatCode="\$#,##0.00;\(\$#,##0.00\)"/>
    <numFmt numFmtId="192" formatCode="* #,##0_);* \(#,##0\);&quot;-&quot;??_);@"/>
    <numFmt numFmtId="193" formatCode="\$#,##0;\(\$#,##0\)"/>
    <numFmt numFmtId="194" formatCode="0_)%;\(0\)%"/>
    <numFmt numFmtId="195" formatCode="0%_);\(0%\)"/>
    <numFmt numFmtId="196" formatCode="_ * #,##0.00_ ;_ * \-#,##0.00_ ;_ * &quot;-&quot;??_ ;_ @_ "/>
    <numFmt numFmtId="197" formatCode="_-&quot;\&quot;* #,##0_-;&quot;\&quot;&quot;\&quot;&quot;\&quot;\-&quot;\&quot;* #,##0_-;_-&quot;\&quot;* &quot;-&quot;_-;_-@_-"/>
    <numFmt numFmtId="198" formatCode="_-* #,##0_-;&quot;\&quot;&quot;\&quot;&quot;\&quot;\-* #,##0_-;_-* &quot;-&quot;_-;_-@_-"/>
    <numFmt numFmtId="199" formatCode="_-&quot;\&quot;* #,##0.00_-;&quot;\&quot;&quot;\&quot;&quot;\&quot;\-&quot;\&quot;* #,##0.00_-;_-&quot;\&quot;* &quot;-&quot;??_-;_-@_-"/>
    <numFmt numFmtId="200" formatCode="_-* #,##0.00_-;&quot;\&quot;&quot;\&quot;&quot;\&quot;\-* #,##0.00_-;_-* &quot;-&quot;??_-;_-@_-"/>
    <numFmt numFmtId="201" formatCode="_-&quot;Dfl.&quot;\ * #,##0.00_-;_-&quot;Dfl.&quot;\ * #,##0.00\-;_-&quot;Dfl.&quot;\ * &quot;-&quot;??_-;_-@_-"/>
    <numFmt numFmtId="202" formatCode="_-* #,##0.00_-;_-* #,##0.00\-;_-* &quot;-&quot;??_-;_-@_-"/>
    <numFmt numFmtId="203" formatCode="0.0_)\%;\(0.0\)\%;0.0_)\%;@_)_%"/>
    <numFmt numFmtId="204" formatCode="#,##0.0_)_%;\(#,##0.0\)_%;0.0_)_%;@_)_%"/>
    <numFmt numFmtId="205" formatCode="#,##0.0_);\(#,##0.0\);#,##0.0_);@_)"/>
    <numFmt numFmtId="206" formatCode="&quot;$&quot;_(#,##0.00_);&quot;$&quot;\(#,##0.00\);&quot;$&quot;_(0.00_);@_)"/>
    <numFmt numFmtId="207" formatCode="#,##0.00_);\(#,##0.00\);0.00_);@_)"/>
    <numFmt numFmtId="208" formatCode="\€_(#,##0.00_);\€\(#,##0.00\);\€_(0.00_);@_)"/>
    <numFmt numFmtId="209" formatCode="#,##0_)\x;\(#,##0\)\x;0_)\x;@_)_x"/>
    <numFmt numFmtId="210" formatCode="#,##0_)_x;\(#,##0\)_x;0_)_x;@_)_x"/>
    <numFmt numFmtId="211" formatCode="&quot;\&quot;#,##0;[Red]&quot;\&quot;\-#,##0"/>
    <numFmt numFmtId="212" formatCode="&quot;\&quot;#,##0.00;[Red]&quot;\&quot;\-#,##0.00"/>
    <numFmt numFmtId="213" formatCode="0.000_)"/>
    <numFmt numFmtId="214" formatCode="&quot;$&quot;#,##0\ ;\(&quot;$&quot;#,##0\)"/>
    <numFmt numFmtId="215" formatCode="#,##0\ \ ;\(#,##0\)\ ;\—\ \ \ \ "/>
    <numFmt numFmtId="216" formatCode="0."/>
    <numFmt numFmtId="217" formatCode="#,##0\ &quot;F&quot;;[Red]\-#,##0\ &quot;F&quot;"/>
    <numFmt numFmtId="218" formatCode="#,##0.00\ &quot;F&quot;;[Red]\-#,##0.00\ &quot;F&quot;"/>
    <numFmt numFmtId="219" formatCode="_-* #,##0.00_-;\-* #,##0.00_-;_-* \-??_-;_-@_-"/>
    <numFmt numFmtId="220" formatCode="_(* #,##0.00_);_(* \(#,##0.00\);_(* \-??_);_(@_)"/>
    <numFmt numFmtId="221" formatCode="#,##0.00\ ;\-#,##0.00\ ;&quot; -&quot;#\ ;@\ "/>
    <numFmt numFmtId="222" formatCode="_([$€-2]* #,##0.00_);_([$€-2]* \(#,##0.00\);_([$€-2]* \-??_)"/>
    <numFmt numFmtId="223" formatCode="_-* #,##0.00_-;\-* #,##0.00_-;_-* \-&quot;?&quot;&quot;?&quot;_-;_-@_-"/>
    <numFmt numFmtId="224" formatCode="_-* #,##0.00_-;\-* #,##0.00_-;_-* &quot;-&quot;&quot;?&quot;&quot;?&quot;_-;_-@_-"/>
    <numFmt numFmtId="225" formatCode="_(* #,##0.00_);_(* \(#,##0.00\);_(* &quot;-&quot;&quot;?&quot;&quot;?&quot;_);_(@_)"/>
    <numFmt numFmtId="226" formatCode="#,##0.00\ ;\-#,##0.00\ ;\-#\ ;@\ "/>
    <numFmt numFmtId="227" formatCode="&quot;$&quot;\t#,##0_);\(&quot;$&quot;\t#,##0\)"/>
    <numFmt numFmtId="228" formatCode="&quot;?&quot;#,##0;[Red]\-&quot;?&quot;#,##0"/>
    <numFmt numFmtId="229" formatCode="\t#,##0"/>
    <numFmt numFmtId="230" formatCode="\t#,##0.00_);[Red]\(\t#,##0.00\)"/>
    <numFmt numFmtId="231" formatCode="_-&quot;$&quot;* #,##0_-;\-&quot;$&quot;* #,##0_-;_-&quot;$&quot;* &quot;-&quot;_-;_-@_-"/>
    <numFmt numFmtId="232" formatCode="_-&quot;$&quot;* #,##0.00_-;\-&quot;$&quot;* #,##0.00_-;_-&quot;$&quot;* &quot;-&quot;??_-;_-@_-"/>
    <numFmt numFmtId="233" formatCode="_([$€]* #,##0.00_);_([$€]* \(#,##0.00\);_([$€]* &quot;-&quot;??_);_(@_)"/>
    <numFmt numFmtId="234" formatCode="&quot;$&quot;#,##0.00;\(&quot;$&quot;#,##0.00\)"/>
    <numFmt numFmtId="235" formatCode="###0.0%;\(###0.0%\)"/>
    <numFmt numFmtId="236" formatCode="#,##0_);\(#,##0\);&quot;-&quot;??_)"/>
    <numFmt numFmtId="237" formatCode="_-* #,##0.00\ &quot;€&quot;_-;\-* #,##0.00\ &quot;€&quot;_-;_-* &quot;-&quot;??\ &quot;€&quot;_-;_-@_-"/>
  </numFmts>
  <fonts count="38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sz val="14"/>
      <name val="Cordia New"/>
      <family val="2"/>
    </font>
    <font>
      <sz val="11"/>
      <color indexed="8"/>
      <name val="Arial"/>
      <family val="2"/>
    </font>
    <font>
      <sz val="15"/>
      <name val="BrowalliaUPC"/>
      <family val="1"/>
      <charset val="222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4"/>
      <name val="Angsana New"/>
      <family val="1"/>
    </font>
    <font>
      <sz val="16"/>
      <name val="Angsana New"/>
      <family val="1"/>
    </font>
    <font>
      <sz val="14"/>
      <name val="AngsanaUPC"/>
      <family val="1"/>
    </font>
    <font>
      <sz val="10"/>
      <name val="ApFont"/>
      <charset val="222"/>
    </font>
    <font>
      <sz val="10"/>
      <color theme="1"/>
      <name val="EYInterstate Light"/>
      <family val="2"/>
    </font>
    <font>
      <sz val="10"/>
      <color indexed="8"/>
      <name val="Arial"/>
      <family val="2"/>
    </font>
    <font>
      <sz val="14"/>
      <name val="AngsanaUPC"/>
      <family val="1"/>
      <charset val="222"/>
    </font>
    <font>
      <sz val="14"/>
      <name val="CordiaUPC"/>
      <family val="2"/>
      <charset val="222"/>
    </font>
    <font>
      <sz val="14"/>
      <name val="Palatino"/>
      <family val="1"/>
      <charset val="222"/>
    </font>
    <font>
      <sz val="16"/>
      <name val="Palatino"/>
      <family val="1"/>
      <charset val="222"/>
    </font>
    <font>
      <sz val="32"/>
      <name val="Helvetica-Black"/>
      <charset val="222"/>
    </font>
    <font>
      <sz val="12"/>
      <name val="Tms Rmn"/>
      <charset val="222"/>
    </font>
    <font>
      <sz val="6"/>
      <color indexed="23"/>
      <name val="Helvetica-Black"/>
      <charset val="222"/>
    </font>
    <font>
      <sz val="9.5"/>
      <color indexed="23"/>
      <name val="Helvetica-Black"/>
      <charset val="222"/>
    </font>
    <font>
      <sz val="7"/>
      <name val="Palatino"/>
      <family val="1"/>
      <charset val="222"/>
    </font>
    <font>
      <sz val="8"/>
      <name val="Arial"/>
      <family val="2"/>
      <charset val="222"/>
    </font>
    <font>
      <sz val="6"/>
      <name val="Palatino"/>
      <family val="1"/>
      <charset val="222"/>
    </font>
    <font>
      <sz val="10"/>
      <name val="Helvetica-Black"/>
      <charset val="222"/>
    </font>
    <font>
      <sz val="28"/>
      <name val="Helvetica-Black"/>
      <charset val="222"/>
    </font>
    <font>
      <sz val="10"/>
      <name val="Palatino"/>
      <family val="1"/>
    </font>
    <font>
      <sz val="18"/>
      <name val="Palatino"/>
      <family val="1"/>
      <charset val="222"/>
    </font>
    <font>
      <i/>
      <sz val="14"/>
      <name val="Palatino"/>
      <family val="1"/>
      <charset val="222"/>
    </font>
    <font>
      <sz val="7"/>
      <name val="Small Fonts"/>
      <family val="2"/>
    </font>
    <font>
      <b/>
      <i/>
      <sz val="16"/>
      <name val="Helv"/>
      <charset val="222"/>
    </font>
    <font>
      <sz val="10"/>
      <name val="Palatino"/>
      <family val="1"/>
      <charset val="222"/>
    </font>
    <font>
      <sz val="12"/>
      <name val="Helvetica-Black"/>
      <charset val="222"/>
    </font>
    <font>
      <b/>
      <sz val="10"/>
      <name val="Palatino"/>
      <family val="1"/>
      <charset val="222"/>
    </font>
    <font>
      <sz val="12"/>
      <name val="Palatino"/>
      <family val="1"/>
      <charset val="222"/>
    </font>
    <font>
      <sz val="11"/>
      <name val="Helvetica-Black"/>
      <charset val="222"/>
    </font>
    <font>
      <u/>
      <sz val="14"/>
      <color indexed="12"/>
      <name val="Cordia New"/>
      <family val="2"/>
    </font>
    <font>
      <sz val="14"/>
      <name val="Cordia New"/>
      <family val="1"/>
    </font>
    <font>
      <sz val="12"/>
      <name val="ทsฒำฉ๚ล้"/>
      <family val="1"/>
      <charset val="136"/>
    </font>
    <font>
      <u/>
      <sz val="14"/>
      <color indexed="36"/>
      <name val="Cordia New"/>
      <family val="2"/>
    </font>
    <font>
      <sz val="8"/>
      <name val="EYInterstate Light"/>
    </font>
    <font>
      <sz val="12"/>
      <name val="Palatino"/>
      <family val="1"/>
    </font>
    <font>
      <sz val="12"/>
      <name val="Tms Rmn"/>
    </font>
    <font>
      <sz val="16"/>
      <color theme="1"/>
      <name val="Angsana New"/>
      <family val="2"/>
      <charset val="222"/>
    </font>
    <font>
      <sz val="16"/>
      <color theme="0"/>
      <name val="Angsana New"/>
      <family val="2"/>
      <charset val="222"/>
    </font>
    <font>
      <sz val="16"/>
      <color rgb="FF9C0006"/>
      <name val="Angsana New"/>
      <family val="2"/>
      <charset val="222"/>
    </font>
    <font>
      <b/>
      <sz val="16"/>
      <color rgb="FFFA7D00"/>
      <name val="Angsana New"/>
      <family val="2"/>
      <charset val="222"/>
    </font>
    <font>
      <b/>
      <sz val="16"/>
      <color theme="0"/>
      <name val="Angsana New"/>
      <family val="2"/>
      <charset val="222"/>
    </font>
    <font>
      <sz val="10"/>
      <color theme="1"/>
      <name val="Arial"/>
      <family val="2"/>
    </font>
    <font>
      <sz val="15"/>
      <color theme="1"/>
      <name val="Angsana New"/>
      <family val="2"/>
      <charset val="222"/>
    </font>
    <font>
      <sz val="10"/>
      <color theme="1"/>
      <name val="EYInterstate"/>
      <family val="2"/>
    </font>
    <font>
      <i/>
      <sz val="16"/>
      <color rgb="FF7F7F7F"/>
      <name val="Angsana New"/>
      <family val="2"/>
      <charset val="222"/>
    </font>
    <font>
      <sz val="16"/>
      <color rgb="FF006100"/>
      <name val="Angsana New"/>
      <family val="2"/>
      <charset val="222"/>
    </font>
    <font>
      <b/>
      <sz val="15"/>
      <color theme="3"/>
      <name val="Angsana New"/>
      <family val="2"/>
      <charset val="222"/>
    </font>
    <font>
      <b/>
      <sz val="13"/>
      <color theme="3"/>
      <name val="Angsana New"/>
      <family val="2"/>
      <charset val="222"/>
    </font>
    <font>
      <b/>
      <sz val="11"/>
      <color theme="3"/>
      <name val="Angsana New"/>
      <family val="2"/>
      <charset val="222"/>
    </font>
    <font>
      <u/>
      <sz val="10"/>
      <color theme="10"/>
      <name val="Arial"/>
      <family val="2"/>
    </font>
    <font>
      <sz val="16"/>
      <color rgb="FF3F3F76"/>
      <name val="Angsana New"/>
      <family val="2"/>
      <charset val="222"/>
    </font>
    <font>
      <sz val="16"/>
      <color rgb="FFFA7D00"/>
      <name val="Angsana New"/>
      <family val="2"/>
      <charset val="222"/>
    </font>
    <font>
      <sz val="16"/>
      <color rgb="FF9C6500"/>
      <name val="Angsana New"/>
      <family val="2"/>
      <charset val="222"/>
    </font>
    <font>
      <b/>
      <sz val="16"/>
      <color rgb="FF3F3F3F"/>
      <name val="Angsana New"/>
      <family val="2"/>
      <charset val="222"/>
    </font>
    <font>
      <b/>
      <sz val="18"/>
      <color theme="3"/>
      <name val="Aptos Display"/>
      <family val="2"/>
      <charset val="222"/>
      <scheme val="major"/>
    </font>
    <font>
      <b/>
      <sz val="16"/>
      <color theme="1"/>
      <name val="Angsana New"/>
      <family val="2"/>
      <charset val="222"/>
    </font>
    <font>
      <sz val="16"/>
      <color rgb="FFFF0000"/>
      <name val="Angsana New"/>
      <family val="2"/>
      <charset val="222"/>
    </font>
    <font>
      <sz val="11"/>
      <name val="Aptos Narrow"/>
      <family val="2"/>
      <scheme val="minor"/>
    </font>
    <font>
      <sz val="10"/>
      <name val="ApFont"/>
    </font>
    <font>
      <sz val="8"/>
      <name val="Arial"/>
      <family val="2"/>
    </font>
    <font>
      <b/>
      <i/>
      <sz val="16"/>
      <name val="Helv"/>
    </font>
    <font>
      <sz val="15"/>
      <name val="Angsana New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u/>
      <sz val="14"/>
      <color indexed="36"/>
      <name val="CordiaUPC"/>
      <family val="2"/>
      <charset val="22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6"/>
      <name val="Palatino"/>
      <family val="1"/>
    </font>
    <font>
      <sz val="28"/>
      <name val="Helvetica-Black"/>
    </font>
    <font>
      <sz val="10"/>
      <name val="Helvetica-Black"/>
    </font>
    <font>
      <sz val="18"/>
      <name val="Helvetica-Black"/>
    </font>
    <font>
      <sz val="18"/>
      <name val="Palatino"/>
      <family val="1"/>
    </font>
    <font>
      <i/>
      <sz val="14"/>
      <name val="Palatino"/>
      <family val="1"/>
    </font>
    <font>
      <u/>
      <sz val="14"/>
      <color indexed="12"/>
      <name val="CordiaUPC"/>
      <family val="2"/>
      <charset val="222"/>
    </font>
    <font>
      <sz val="12"/>
      <name val="Helvetica-Black"/>
    </font>
    <font>
      <b/>
      <sz val="10"/>
      <name val="Palatino"/>
      <family val="1"/>
    </font>
    <font>
      <sz val="11"/>
      <name val="Helvetica-Black"/>
    </font>
    <font>
      <b/>
      <sz val="18"/>
      <color theme="3"/>
      <name val="Aptos Display"/>
      <family val="2"/>
      <scheme val="major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0"/>
      <color indexed="9"/>
      <name val="Arial Rounded MT Bold"/>
      <family val="2"/>
    </font>
    <font>
      <b/>
      <sz val="10"/>
      <color indexed="15"/>
      <name val="Arial Rounded MT Bold"/>
      <family val="2"/>
    </font>
    <font>
      <sz val="10"/>
      <color indexed="15"/>
      <name val="Arial Rounded MT Bold"/>
      <family val="2"/>
    </font>
    <font>
      <sz val="10"/>
      <name val="MS Sans Serif"/>
      <family val="2"/>
    </font>
    <font>
      <sz val="12"/>
      <name val="Helv"/>
    </font>
    <font>
      <sz val="10"/>
      <name val="Franklin Gothic Medium"/>
      <family val="2"/>
    </font>
    <font>
      <b/>
      <sz val="10"/>
      <color indexed="13"/>
      <name val="Arial Rounded MT Bold"/>
      <family val="2"/>
    </font>
    <font>
      <b/>
      <sz val="10"/>
      <name val="Arial"/>
      <family val="2"/>
    </font>
    <font>
      <b/>
      <sz val="12"/>
      <color indexed="43"/>
      <name val="Helv"/>
    </font>
    <font>
      <sz val="8"/>
      <color indexed="13"/>
      <name val="Arial Rounded MT Bold"/>
      <family val="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4"/>
      <color theme="1"/>
      <name val="Angsana New"/>
      <family val="2"/>
      <charset val="222"/>
    </font>
    <font>
      <sz val="10"/>
      <color theme="1"/>
      <name val="Tahoma"/>
      <family val="2"/>
      <charset val="222"/>
    </font>
    <font>
      <sz val="16"/>
      <color theme="1"/>
      <name val="AngsanaUPC"/>
      <family val="2"/>
      <charset val="222"/>
    </font>
    <font>
      <b/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0"/>
      <color indexed="8"/>
      <name val="Times New Roman"/>
      <family val="1"/>
    </font>
    <font>
      <sz val="14"/>
      <name val="CordiaUPC"/>
      <family val="2"/>
    </font>
    <font>
      <sz val="9"/>
      <name val="Times New Roman"/>
      <family val="1"/>
    </font>
    <font>
      <b/>
      <sz val="12"/>
      <name val="Arial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b/>
      <sz val="10"/>
      <color indexed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9.5"/>
      <name val="TMS RMMN"/>
    </font>
    <font>
      <sz val="11"/>
      <name val="돋움"/>
      <charset val="129"/>
    </font>
    <font>
      <sz val="10"/>
      <name val="MS Sans Serif"/>
      <family val="2"/>
      <charset val="22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0"/>
      <name val="MS Sans Serif"/>
      <family val="2"/>
      <charset val="222"/>
    </font>
    <font>
      <b/>
      <sz val="8"/>
      <name val="Arial Narrow"/>
      <family val="2"/>
    </font>
    <font>
      <sz val="12"/>
      <name val="Arial MT"/>
    </font>
    <font>
      <sz val="12"/>
      <name val="นูลมรผ"/>
      <charset val="129"/>
    </font>
    <font>
      <b/>
      <sz val="10"/>
      <name val="Tahoma"/>
      <family val="2"/>
    </font>
    <font>
      <sz val="12"/>
      <name val="นูลมรผ"/>
    </font>
    <font>
      <b/>
      <sz val="12"/>
      <name val="Tahoma"/>
      <family val="2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name val="?l?r ?o?S?V?b?N"/>
      <family val="1"/>
    </font>
    <font>
      <b/>
      <sz val="10"/>
      <name val="Tms Rmn"/>
      <family val="1"/>
    </font>
    <font>
      <sz val="11"/>
      <name val="Tms Rmn"/>
    </font>
    <font>
      <sz val="10"/>
      <color indexed="24"/>
      <name val="Arial"/>
      <family val="2"/>
    </font>
    <font>
      <sz val="10"/>
      <name val="Geneva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name val="Courier New"/>
      <family val="3"/>
    </font>
    <font>
      <sz val="9"/>
      <name val="Microsoft Sans Serif"/>
      <family val="2"/>
    </font>
    <font>
      <sz val="12"/>
      <name val="宋体"/>
      <charset val="134"/>
    </font>
    <font>
      <u/>
      <sz val="12"/>
      <color indexed="36"/>
      <name val="宋体"/>
      <charset val="134"/>
    </font>
    <font>
      <sz val="10"/>
      <name val="Geneva"/>
      <family val="2"/>
    </font>
    <font>
      <sz val="11"/>
      <name val="ＭＳ Ｐゴシック"/>
      <family val="3"/>
      <charset val="128"/>
    </font>
    <font>
      <u/>
      <sz val="12"/>
      <color indexed="12"/>
      <name val="宋体"/>
      <charset val="134"/>
    </font>
    <font>
      <sz val="12"/>
      <name val="Osaka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2"/>
    </font>
    <font>
      <b/>
      <sz val="11"/>
      <color rgb="FF000000"/>
      <name val="Arial"/>
      <family val="2"/>
    </font>
    <font>
      <sz val="12"/>
      <name val="AngsanaUPC"/>
      <family val="1"/>
      <charset val="222"/>
    </font>
    <font>
      <sz val="10"/>
      <name val="Arial"/>
      <family val="2"/>
      <charset val="222"/>
    </font>
    <font>
      <sz val="10"/>
      <color indexed="8"/>
      <name val="Tahoma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u/>
      <sz val="16"/>
      <color indexed="12"/>
      <name val="CordiaUPC"/>
      <family val="2"/>
      <charset val="22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u/>
      <sz val="16"/>
      <color indexed="36"/>
      <name val="CordiaUPC"/>
      <family val="2"/>
      <charset val="22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indexed="8"/>
      <name val="Calibri"/>
      <family val="2"/>
      <charset val="222"/>
    </font>
    <font>
      <sz val="11"/>
      <color indexed="9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52"/>
      <name val="Calibri"/>
      <family val="2"/>
      <charset val="222"/>
    </font>
    <font>
      <b/>
      <sz val="11"/>
      <color indexed="9"/>
      <name val="Calibri"/>
      <family val="2"/>
      <charset val="222"/>
    </font>
    <font>
      <i/>
      <sz val="11"/>
      <color indexed="23"/>
      <name val="Calibri"/>
      <family val="2"/>
      <charset val="222"/>
    </font>
    <font>
      <sz val="11"/>
      <color indexed="17"/>
      <name val="Calibri"/>
      <family val="2"/>
      <charset val="222"/>
    </font>
    <font>
      <b/>
      <sz val="15"/>
      <color indexed="62"/>
      <name val="Calibri"/>
      <family val="2"/>
      <charset val="222"/>
    </font>
    <font>
      <b/>
      <sz val="13"/>
      <color indexed="62"/>
      <name val="Calibri"/>
      <family val="2"/>
      <charset val="222"/>
    </font>
    <font>
      <b/>
      <sz val="11"/>
      <color indexed="62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8"/>
      <color indexed="62"/>
      <name val="Cambria"/>
      <family val="2"/>
      <charset val="222"/>
    </font>
    <font>
      <b/>
      <sz val="11"/>
      <color indexed="8"/>
      <name val="Calibri"/>
      <family val="2"/>
      <charset val="222"/>
    </font>
    <font>
      <sz val="11"/>
      <color indexed="10"/>
      <name val="Calibri"/>
      <family val="2"/>
      <charset val="22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ahoma"/>
      <family val="2"/>
    </font>
    <font>
      <sz val="11"/>
      <color rgb="FF000000"/>
      <name val="Tahoma"/>
      <family val="2"/>
      <charset val="222"/>
    </font>
    <font>
      <sz val="10"/>
      <name val="Calibri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0"/>
      <color theme="1"/>
      <name val="Aptos Narrow"/>
      <family val="2"/>
      <charset val="222"/>
      <scheme val="minor"/>
    </font>
    <font>
      <sz val="10"/>
      <color theme="1"/>
      <name val="Tahoma"/>
      <family val="2"/>
    </font>
    <font>
      <sz val="8"/>
      <name val="Tahoma"/>
      <family val="2"/>
    </font>
    <font>
      <b/>
      <sz val="9"/>
      <color rgb="FF000000"/>
      <name val="Arial"/>
      <family val="2"/>
    </font>
    <font>
      <b/>
      <sz val="11"/>
      <color rgb="FF80008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u/>
      <sz val="14"/>
      <color theme="10"/>
      <name val="Cordia New"/>
      <family val="2"/>
    </font>
    <font>
      <u/>
      <sz val="10"/>
      <color indexed="12"/>
      <name val="MS Sans Serif"/>
      <family val="2"/>
      <charset val="222"/>
    </font>
    <font>
      <u/>
      <sz val="10"/>
      <color indexed="14"/>
      <name val="MS Sans Serif"/>
      <family val="2"/>
      <charset val="222"/>
    </font>
    <font>
      <sz val="14"/>
      <name val="?? ??"/>
      <charset val="222"/>
    </font>
    <font>
      <sz val="12"/>
      <name val="????"/>
      <charset val="222"/>
    </font>
    <font>
      <sz val="14"/>
      <name val="?? ??"/>
      <family val="2"/>
    </font>
    <font>
      <sz val="8"/>
      <color indexed="12"/>
      <name val="Helv"/>
    </font>
    <font>
      <sz val="14"/>
      <name val="Helv"/>
    </font>
    <font>
      <sz val="24"/>
      <name val="Helv"/>
    </font>
    <font>
      <b/>
      <u/>
      <sz val="10"/>
      <name val="Helv"/>
    </font>
    <font>
      <sz val="10"/>
      <name val="Helv"/>
      <family val="2"/>
    </font>
    <font>
      <sz val="11"/>
      <name val="Terminal"/>
      <family val="3"/>
      <charset val="255"/>
    </font>
    <font>
      <u/>
      <sz val="9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Ｐゴシック"/>
      <charset val="128"/>
    </font>
    <font>
      <u/>
      <sz val="9"/>
      <color indexed="12"/>
      <name val="ＭＳ Ｐゴシック"/>
      <family val="3"/>
      <charset val="128"/>
    </font>
    <font>
      <sz val="12"/>
      <name val="新細明體"/>
      <family val="1"/>
      <charset val="136"/>
    </font>
    <font>
      <u/>
      <sz val="12"/>
      <color indexed="12"/>
      <name val="??"/>
      <charset val="134"/>
    </font>
    <font>
      <u/>
      <sz val="12"/>
      <color indexed="36"/>
      <name val="??"/>
      <charset val="134"/>
    </font>
    <font>
      <sz val="12"/>
      <name val="??"/>
      <charset val="134"/>
    </font>
    <font>
      <sz val="11"/>
      <color theme="1"/>
      <name val="Tahoma"/>
      <family val="2"/>
    </font>
    <font>
      <sz val="11"/>
      <name val="Calibri"/>
      <family val="2"/>
    </font>
    <font>
      <sz val="14"/>
      <color theme="1"/>
      <name val="Cordia New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2"/>
      <name val="Arial Narrow"/>
      <family val="2"/>
    </font>
    <font>
      <b/>
      <sz val="18"/>
      <color indexed="56"/>
      <name val="Cambria"/>
      <family val="2"/>
      <charset val="222"/>
    </font>
    <font>
      <sz val="10"/>
      <color indexed="8"/>
      <name val="Arial"/>
      <family val="2"/>
      <charset val="222"/>
    </font>
    <font>
      <sz val="10"/>
      <color indexed="9"/>
      <name val="Arial"/>
      <family val="2"/>
      <charset val="222"/>
    </font>
    <font>
      <b/>
      <sz val="10"/>
      <color indexed="52"/>
      <name val="Arial"/>
      <family val="2"/>
      <charset val="222"/>
    </font>
    <font>
      <sz val="10"/>
      <color indexed="10"/>
      <name val="Arial"/>
      <family val="2"/>
      <charset val="222"/>
    </font>
    <font>
      <i/>
      <sz val="10"/>
      <color indexed="23"/>
      <name val="Arial"/>
      <family val="2"/>
      <charset val="222"/>
    </font>
    <font>
      <b/>
      <sz val="18"/>
      <color indexed="21"/>
      <name val="Tahoma"/>
      <family val="2"/>
      <charset val="222"/>
    </font>
    <font>
      <b/>
      <sz val="10"/>
      <color indexed="9"/>
      <name val="Arial"/>
      <family val="2"/>
      <charset val="222"/>
    </font>
    <font>
      <sz val="10"/>
      <color indexed="52"/>
      <name val="Arial"/>
      <family val="2"/>
      <charset val="222"/>
    </font>
    <font>
      <sz val="10"/>
      <color indexed="17"/>
      <name val="Arial"/>
      <family val="2"/>
      <charset val="222"/>
    </font>
    <font>
      <sz val="10"/>
      <color indexed="62"/>
      <name val="Arial"/>
      <family val="2"/>
      <charset val="222"/>
    </font>
    <font>
      <sz val="10"/>
      <color indexed="60"/>
      <name val="Arial"/>
      <family val="2"/>
      <charset val="222"/>
    </font>
    <font>
      <b/>
      <sz val="10"/>
      <color indexed="8"/>
      <name val="Arial"/>
      <family val="2"/>
      <charset val="222"/>
    </font>
    <font>
      <sz val="10"/>
      <color indexed="20"/>
      <name val="Arial"/>
      <family val="2"/>
      <charset val="222"/>
    </font>
    <font>
      <sz val="10"/>
      <color indexed="36"/>
      <name val="Arial"/>
      <family val="2"/>
      <charset val="222"/>
    </font>
    <font>
      <b/>
      <sz val="10"/>
      <color indexed="63"/>
      <name val="Arial"/>
      <family val="2"/>
      <charset val="222"/>
    </font>
    <font>
      <b/>
      <sz val="15"/>
      <color indexed="21"/>
      <name val="Arial"/>
      <family val="2"/>
      <charset val="222"/>
    </font>
    <font>
      <b/>
      <sz val="15"/>
      <color indexed="56"/>
      <name val="Arial"/>
      <family val="2"/>
      <charset val="222"/>
    </font>
    <font>
      <b/>
      <sz val="13"/>
      <color indexed="21"/>
      <name val="Arial"/>
      <family val="2"/>
      <charset val="222"/>
    </font>
    <font>
      <b/>
      <sz val="13"/>
      <color indexed="56"/>
      <name val="Arial"/>
      <family val="2"/>
      <charset val="222"/>
    </font>
    <font>
      <b/>
      <sz val="11"/>
      <color indexed="21"/>
      <name val="Arial"/>
      <family val="2"/>
      <charset val="222"/>
    </font>
    <font>
      <b/>
      <sz val="11"/>
      <color indexed="56"/>
      <name val="Arial"/>
      <family val="2"/>
      <charset val="222"/>
    </font>
    <font>
      <sz val="12"/>
      <name val="Arial Narrow"/>
      <family val="2"/>
      <charset val="222"/>
    </font>
    <font>
      <sz val="14"/>
      <name val="Arial"/>
      <family val="2"/>
      <charset val="222"/>
    </font>
    <font>
      <sz val="10"/>
      <name val="Century Gothic"/>
      <family val="2"/>
    </font>
    <font>
      <sz val="10"/>
      <color indexed="0"/>
      <name val="Arial"/>
      <family val="2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8"/>
      <color rgb="FF0058CD"/>
      <name val="Courier New"/>
      <family val="3"/>
    </font>
    <font>
      <u/>
      <sz val="14"/>
      <color indexed="12"/>
      <name val="AngsanaUPC"/>
      <family val="1"/>
      <charset val="222"/>
    </font>
    <font>
      <sz val="11"/>
      <color theme="0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sz val="14"/>
      <color rgb="FF000000"/>
      <name val="Aptos Narrow"/>
      <family val="2"/>
      <scheme val="minor"/>
    </font>
    <font>
      <u/>
      <sz val="10"/>
      <color rgb="FF7A1818"/>
      <name val="Georgia"/>
      <family val="1"/>
    </font>
    <font>
      <u/>
      <sz val="10"/>
      <color theme="10"/>
      <name val="Georgia"/>
      <family val="1"/>
    </font>
    <font>
      <u/>
      <sz val="10"/>
      <color rgb="FF0563C1"/>
      <name val="Georgia"/>
      <family val="1"/>
    </font>
    <font>
      <u/>
      <sz val="9"/>
      <color theme="10"/>
      <name val="Arial"/>
      <family val="2"/>
    </font>
    <font>
      <sz val="10"/>
      <color rgb="FF000000"/>
      <name val="Arial"/>
      <family val="2"/>
    </font>
    <font>
      <b/>
      <sz val="11"/>
      <color theme="3"/>
      <name val="Georgia"/>
      <family val="2"/>
    </font>
    <font>
      <sz val="10"/>
      <color theme="1"/>
      <name val="Arial Unicode MS"/>
      <family val="2"/>
    </font>
    <font>
      <u/>
      <sz val="10"/>
      <color rgb="FF0000FF"/>
      <name val="Georgia"/>
      <family val="1"/>
    </font>
    <font>
      <sz val="14"/>
      <name val="CordiaUPC"/>
      <family val="2"/>
    </font>
    <font>
      <sz val="10"/>
      <name val="Palatino"/>
    </font>
    <font>
      <sz val="11"/>
      <color rgb="FF212529"/>
      <name val="Arial"/>
      <family val="2"/>
    </font>
    <font>
      <sz val="11"/>
      <color rgb="FF212529"/>
      <name val="Aptos Narrow"/>
      <family val="2"/>
      <scheme val="minor"/>
    </font>
    <font>
      <sz val="11"/>
      <name val="Arial"/>
      <family val="2"/>
    </font>
  </fonts>
  <fills count="1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mediumGray">
        <fgColor indexed="22"/>
      </patternFill>
    </fill>
    <fill>
      <patternFill patternType="solid">
        <fgColor indexed="29"/>
        <bgColor indexed="42"/>
      </patternFill>
    </fill>
    <fill>
      <patternFill patternType="solid">
        <fgColor indexed="42"/>
        <bgColor indexed="42"/>
      </patternFill>
    </fill>
    <fill>
      <patternFill patternType="lightGray">
        <fgColor indexed="15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</patternFill>
    </fill>
    <fill>
      <patternFill patternType="solid">
        <fgColor indexed="50"/>
        <bgColor indexed="5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5"/>
        <bgColor indexed="3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48"/>
        <bgColor indexed="30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62"/>
        <bgColor indexed="3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17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9"/>
      </patternFill>
    </fill>
    <fill>
      <patternFill patternType="solid">
        <fgColor theme="5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medium">
        <color indexed="1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31"/>
      </bottom>
      <diagonal/>
    </border>
  </borders>
  <cellStyleXfs count="7357">
    <xf numFmtId="0" fontId="0" fillId="0" borderId="0"/>
    <xf numFmtId="166" fontId="3" fillId="0" borderId="0" applyFont="0" applyFill="0" applyBorder="0" applyAlignment="0" applyProtection="0"/>
    <xf numFmtId="0" fontId="44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0" borderId="0"/>
    <xf numFmtId="0" fontId="37" fillId="0" borderId="0"/>
    <xf numFmtId="0" fontId="42" fillId="0" borderId="0"/>
    <xf numFmtId="0" fontId="46" fillId="0" borderId="0"/>
    <xf numFmtId="5" fontId="45" fillId="0" borderId="0" applyFont="0" applyFill="0" applyBorder="0" applyAlignment="0" applyProtection="0"/>
    <xf numFmtId="0" fontId="22" fillId="0" borderId="0"/>
    <xf numFmtId="0" fontId="41" fillId="0" borderId="0"/>
    <xf numFmtId="0" fontId="22" fillId="0" borderId="0"/>
    <xf numFmtId="166" fontId="44" fillId="0" borderId="0" applyFont="0" applyFill="0" applyBorder="0" applyAlignment="0" applyProtection="0"/>
    <xf numFmtId="0" fontId="41" fillId="0" borderId="0"/>
    <xf numFmtId="0" fontId="44" fillId="0" borderId="0"/>
    <xf numFmtId="166" fontId="21" fillId="0" borderId="0" applyFont="0" applyFill="0" applyBorder="0" applyAlignment="0" applyProtection="0"/>
    <xf numFmtId="0" fontId="37" fillId="0" borderId="0"/>
    <xf numFmtId="0" fontId="37" fillId="0" borderId="0"/>
    <xf numFmtId="9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44" fillId="0" borderId="0"/>
    <xf numFmtId="166" fontId="43" fillId="0" borderId="0" applyFont="0" applyFill="0" applyBorder="0" applyAlignment="0" applyProtection="0"/>
    <xf numFmtId="0" fontId="43" fillId="0" borderId="0"/>
    <xf numFmtId="9" fontId="23" fillId="0" borderId="0" applyFont="0" applyFill="0" applyBorder="0" applyAlignment="0" applyProtection="0"/>
    <xf numFmtId="1" fontId="24" fillId="0" borderId="0"/>
    <xf numFmtId="4" fontId="47" fillId="0" borderId="0" applyFont="0" applyFill="0" applyBorder="0" applyAlignment="0" applyProtection="0"/>
    <xf numFmtId="1" fontId="24" fillId="0" borderId="0"/>
    <xf numFmtId="0" fontId="80" fillId="31" borderId="0" applyNumberFormat="0" applyBorder="0" applyAlignment="0" applyProtection="0"/>
    <xf numFmtId="0" fontId="80" fillId="23" borderId="0" applyNumberFormat="0" applyBorder="0" applyAlignment="0" applyProtection="0"/>
    <xf numFmtId="0" fontId="80" fillId="20" borderId="0" applyNumberFormat="0" applyBorder="0" applyAlignment="0" applyProtection="0"/>
    <xf numFmtId="0" fontId="80" fillId="16" borderId="0" applyNumberFormat="0" applyBorder="0" applyAlignment="0" applyProtection="0"/>
    <xf numFmtId="0" fontId="80" fillId="15" borderId="0" applyNumberFormat="0" applyBorder="0" applyAlignment="0" applyProtection="0"/>
    <xf numFmtId="0" fontId="80" fillId="27" borderId="0" applyNumberFormat="0" applyBorder="0" applyAlignment="0" applyProtection="0"/>
    <xf numFmtId="0" fontId="80" fillId="19" borderId="0" applyNumberFormat="0" applyBorder="0" applyAlignment="0" applyProtection="0"/>
    <xf numFmtId="0" fontId="48" fillId="0" borderId="0"/>
    <xf numFmtId="0" fontId="80" fillId="35" borderId="0" applyNumberFormat="0" applyBorder="0" applyAlignment="0" applyProtection="0"/>
    <xf numFmtId="0" fontId="80" fillId="24" borderId="0" applyNumberFormat="0" applyBorder="0" applyAlignment="0" applyProtection="0"/>
    <xf numFmtId="0" fontId="80" fillId="28" borderId="0" applyNumberFormat="0" applyBorder="0" applyAlignment="0" applyProtection="0"/>
    <xf numFmtId="0" fontId="80" fillId="32" borderId="0" applyNumberFormat="0" applyBorder="0" applyAlignment="0" applyProtection="0"/>
    <xf numFmtId="0" fontId="80" fillId="36" borderId="0" applyNumberFormat="0" applyBorder="0" applyAlignment="0" applyProtection="0"/>
    <xf numFmtId="0" fontId="81" fillId="17" borderId="0" applyNumberFormat="0" applyBorder="0" applyAlignment="0" applyProtection="0"/>
    <xf numFmtId="0" fontId="81" fillId="21" borderId="0" applyNumberFormat="0" applyBorder="0" applyAlignment="0" applyProtection="0"/>
    <xf numFmtId="0" fontId="81" fillId="25" borderId="0" applyNumberFormat="0" applyBorder="0" applyAlignment="0" applyProtection="0"/>
    <xf numFmtId="0" fontId="81" fillId="29" borderId="0" applyNumberFormat="0" applyBorder="0" applyAlignment="0" applyProtection="0"/>
    <xf numFmtId="0" fontId="81" fillId="33" borderId="0" applyNumberFormat="0" applyBorder="0" applyAlignment="0" applyProtection="0"/>
    <xf numFmtId="0" fontId="81" fillId="37" borderId="0" applyNumberFormat="0" applyBorder="0" applyAlignment="0" applyProtection="0"/>
    <xf numFmtId="0" fontId="81" fillId="14" borderId="0" applyNumberFormat="0" applyBorder="0" applyAlignment="0" applyProtection="0"/>
    <xf numFmtId="0" fontId="81" fillId="18" borderId="0" applyNumberFormat="0" applyBorder="0" applyAlignment="0" applyProtection="0"/>
    <xf numFmtId="0" fontId="81" fillId="22" borderId="0" applyNumberFormat="0" applyBorder="0" applyAlignment="0" applyProtection="0"/>
    <xf numFmtId="0" fontId="81" fillId="26" borderId="0" applyNumberFormat="0" applyBorder="0" applyAlignment="0" applyProtection="0"/>
    <xf numFmtId="0" fontId="81" fillId="30" borderId="0" applyNumberFormat="0" applyBorder="0" applyAlignment="0" applyProtection="0"/>
    <xf numFmtId="0" fontId="81" fillId="34" borderId="0" applyNumberFormat="0" applyBorder="0" applyAlignment="0" applyProtection="0"/>
    <xf numFmtId="0" fontId="82" fillId="8" borderId="0" applyNumberFormat="0" applyBorder="0" applyAlignment="0" applyProtection="0"/>
    <xf numFmtId="0" fontId="83" fillId="11" borderId="4" applyNumberFormat="0" applyAlignment="0" applyProtection="0"/>
    <xf numFmtId="0" fontId="84" fillId="12" borderId="7" applyNumberFormat="0" applyAlignment="0" applyProtection="0"/>
    <xf numFmtId="166" fontId="4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85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87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50" fillId="0" borderId="0"/>
    <xf numFmtId="0" fontId="52" fillId="0" borderId="0">
      <alignment horizontal="left"/>
    </xf>
    <xf numFmtId="0" fontId="53" fillId="0" borderId="0"/>
    <xf numFmtId="0" fontId="54" fillId="0" borderId="0">
      <alignment horizontal="left"/>
    </xf>
    <xf numFmtId="173" fontId="50" fillId="0" borderId="0"/>
    <xf numFmtId="174" fontId="50" fillId="0" borderId="0"/>
    <xf numFmtId="0" fontId="5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6" fillId="0" borderId="0">
      <alignment horizontal="left"/>
    </xf>
    <xf numFmtId="0" fontId="57" fillId="0" borderId="0">
      <alignment horizontal="left"/>
    </xf>
    <xf numFmtId="0" fontId="58" fillId="0" borderId="0">
      <alignment horizontal="left"/>
    </xf>
    <xf numFmtId="0" fontId="58" fillId="0" borderId="0">
      <alignment horizontal="left"/>
    </xf>
    <xf numFmtId="0" fontId="89" fillId="7" borderId="0" applyNumberFormat="0" applyBorder="0" applyAlignment="0" applyProtection="0"/>
    <xf numFmtId="38" fontId="59" fillId="38" borderId="0" applyNumberFormat="0" applyBorder="0" applyAlignment="0" applyProtection="0"/>
    <xf numFmtId="0" fontId="60" fillId="0" borderId="0">
      <alignment horizontal="left"/>
    </xf>
    <xf numFmtId="0" fontId="60" fillId="0" borderId="0">
      <alignment horizontal="left"/>
    </xf>
    <xf numFmtId="0" fontId="90" fillId="0" borderId="1" applyNumberFormat="0" applyFill="0" applyAlignment="0" applyProtection="0"/>
    <xf numFmtId="0" fontId="61" fillId="0" borderId="0">
      <alignment horizontal="left"/>
    </xf>
    <xf numFmtId="0" fontId="62" fillId="0" borderId="12">
      <alignment horizontal="left" vertical="top"/>
    </xf>
    <xf numFmtId="0" fontId="91" fillId="0" borderId="2" applyNumberFormat="0" applyFill="0" applyAlignment="0" applyProtection="0"/>
    <xf numFmtId="0" fontId="63" fillId="0" borderId="0">
      <alignment horizontal="left"/>
    </xf>
    <xf numFmtId="0" fontId="64" fillId="0" borderId="12">
      <alignment horizontal="left" vertical="top"/>
    </xf>
    <xf numFmtId="0" fontId="92" fillId="0" borderId="3" applyNumberFormat="0" applyFill="0" applyAlignment="0" applyProtection="0"/>
    <xf numFmtId="0" fontId="65" fillId="0" borderId="0">
      <alignment horizontal="left"/>
    </xf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10" fontId="59" fillId="39" borderId="13" applyNumberFormat="0" applyBorder="0" applyAlignment="0" applyProtection="0"/>
    <xf numFmtId="0" fontId="94" fillId="10" borderId="4" applyNumberFormat="0" applyAlignment="0" applyProtection="0"/>
    <xf numFmtId="0" fontId="95" fillId="0" borderId="6" applyNumberFormat="0" applyFill="0" applyAlignment="0" applyProtection="0"/>
    <xf numFmtId="0" fontId="96" fillId="9" borderId="0" applyNumberFormat="0" applyBorder="0" applyAlignment="0" applyProtection="0"/>
    <xf numFmtId="37" fontId="66" fillId="0" borderId="0"/>
    <xf numFmtId="175" fontId="67" fillId="0" borderId="0"/>
    <xf numFmtId="0" fontId="87" fillId="0" borderId="0"/>
    <xf numFmtId="0" fontId="86" fillId="0" borderId="0"/>
    <xf numFmtId="0" fontId="86" fillId="0" borderId="0"/>
    <xf numFmtId="0" fontId="48" fillId="0" borderId="0"/>
    <xf numFmtId="0" fontId="86" fillId="0" borderId="0"/>
    <xf numFmtId="0" fontId="80" fillId="0" borderId="0"/>
    <xf numFmtId="0" fontId="77" fillId="0" borderId="0">
      <alignment vertical="center"/>
    </xf>
    <xf numFmtId="0" fontId="41" fillId="0" borderId="0"/>
    <xf numFmtId="0" fontId="51" fillId="0" borderId="0"/>
    <xf numFmtId="0" fontId="48" fillId="0" borderId="0"/>
    <xf numFmtId="0" fontId="85" fillId="0" borderId="0"/>
    <xf numFmtId="0" fontId="86" fillId="0" borderId="0"/>
    <xf numFmtId="0" fontId="86" fillId="0" borderId="0"/>
    <xf numFmtId="0" fontId="86" fillId="0" borderId="0"/>
    <xf numFmtId="0" fontId="41" fillId="0" borderId="0"/>
    <xf numFmtId="0" fontId="41" fillId="0" borderId="0"/>
    <xf numFmtId="0" fontId="41" fillId="0" borderId="0"/>
    <xf numFmtId="0" fontId="87" fillId="0" borderId="0"/>
    <xf numFmtId="0" fontId="3" fillId="0" borderId="0"/>
    <xf numFmtId="0" fontId="68" fillId="0" borderId="0"/>
    <xf numFmtId="0" fontId="80" fillId="13" borderId="8" applyNumberFormat="0" applyFont="0" applyAlignment="0" applyProtection="0"/>
    <xf numFmtId="0" fontId="97" fillId="11" borderId="5" applyNumberFormat="0" applyAlignment="0" applyProtection="0"/>
    <xf numFmtId="0" fontId="69" fillId="0" borderId="0">
      <alignment horizontal="left"/>
    </xf>
    <xf numFmtId="10" fontId="4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85" fillId="0" borderId="0" applyFont="0" applyFill="0" applyBorder="0" applyAlignment="0" applyProtection="0"/>
    <xf numFmtId="1" fontId="41" fillId="0" borderId="10" applyNumberFormat="0" applyFill="0" applyAlignment="0" applyProtection="0">
      <alignment horizontal="center" vertical="center"/>
    </xf>
    <xf numFmtId="0" fontId="57" fillId="0" borderId="14">
      <alignment vertical="center"/>
    </xf>
    <xf numFmtId="0" fontId="70" fillId="0" borderId="0">
      <alignment horizontal="left"/>
    </xf>
    <xf numFmtId="0" fontId="58" fillId="0" borderId="0">
      <alignment horizontal="left"/>
    </xf>
    <xf numFmtId="0" fontId="63" fillId="0" borderId="0"/>
    <xf numFmtId="0" fontId="61" fillId="0" borderId="0"/>
    <xf numFmtId="0" fontId="58" fillId="0" borderId="0"/>
    <xf numFmtId="0" fontId="71" fillId="0" borderId="0"/>
    <xf numFmtId="0" fontId="71" fillId="0" borderId="0"/>
    <xf numFmtId="0" fontId="72" fillId="0" borderId="0"/>
    <xf numFmtId="0" fontId="72" fillId="0" borderId="0"/>
    <xf numFmtId="0" fontId="71" fillId="0" borderId="0"/>
    <xf numFmtId="0" fontId="71" fillId="0" borderId="0"/>
    <xf numFmtId="0" fontId="98" fillId="0" borderId="0" applyNumberFormat="0" applyFill="0" applyBorder="0" applyAlignment="0" applyProtection="0"/>
    <xf numFmtId="0" fontId="72" fillId="0" borderId="0"/>
    <xf numFmtId="0" fontId="71" fillId="0" borderId="0"/>
    <xf numFmtId="0" fontId="99" fillId="0" borderId="9" applyNumberFormat="0" applyFill="0" applyAlignment="0" applyProtection="0"/>
    <xf numFmtId="0" fontId="100" fillId="0" borderId="0" applyNumberFormat="0" applyFill="0" applyBorder="0" applyAlignment="0" applyProtection="0"/>
    <xf numFmtId="0" fontId="74" fillId="0" borderId="0"/>
    <xf numFmtId="165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42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85" fillId="0" borderId="0"/>
    <xf numFmtId="0" fontId="8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0" fontId="103" fillId="39" borderId="13" applyNumberFormat="0" applyBorder="0" applyAlignment="0" applyProtection="0"/>
    <xf numFmtId="0" fontId="102" fillId="0" borderId="0"/>
    <xf numFmtId="166" fontId="22" fillId="0" borderId="0" applyFont="0" applyFill="0" applyBorder="0" applyAlignment="0" applyProtection="0"/>
    <xf numFmtId="175" fontId="104" fillId="0" borderId="0"/>
    <xf numFmtId="0" fontId="48" fillId="0" borderId="0"/>
    <xf numFmtId="38" fontId="103" fillId="38" borderId="0" applyNumberFormat="0" applyBorder="0" applyAlignment="0" applyProtection="0"/>
    <xf numFmtId="4" fontId="102" fillId="0" borderId="0" applyFont="0" applyFill="0" applyBorder="0" applyAlignment="0" applyProtection="0"/>
    <xf numFmtId="0" fontId="102" fillId="0" borderId="0"/>
    <xf numFmtId="0" fontId="102" fillId="0" borderId="0"/>
    <xf numFmtId="0" fontId="85" fillId="0" borderId="0"/>
    <xf numFmtId="0" fontId="85" fillId="0" borderId="0"/>
    <xf numFmtId="0" fontId="85" fillId="0" borderId="0"/>
    <xf numFmtId="0" fontId="102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106" fillId="0" borderId="0">
      <alignment horizontal="left"/>
    </xf>
    <xf numFmtId="0" fontId="107" fillId="0" borderId="0"/>
    <xf numFmtId="0" fontId="108" fillId="0" borderId="0">
      <alignment horizontal="left"/>
    </xf>
    <xf numFmtId="0" fontId="41" fillId="0" borderId="0"/>
    <xf numFmtId="210" fontId="41" fillId="0" borderId="0" applyFont="0" applyFill="0" applyBorder="0" applyProtection="0">
      <alignment horizontal="right"/>
    </xf>
    <xf numFmtId="0" fontId="21" fillId="50" borderId="0" applyNumberFormat="0" applyBorder="0" applyAlignment="0" applyProtection="0"/>
    <xf numFmtId="0" fontId="110" fillId="0" borderId="0">
      <alignment horizontal="left"/>
    </xf>
    <xf numFmtId="0" fontId="111" fillId="0" borderId="0">
      <alignment horizontal="left"/>
    </xf>
    <xf numFmtId="0" fontId="112" fillId="0" borderId="0">
      <alignment horizontal="left"/>
    </xf>
    <xf numFmtId="0" fontId="112" fillId="0" borderId="0">
      <alignment horizontal="left"/>
    </xf>
    <xf numFmtId="0" fontId="212" fillId="66" borderId="11"/>
    <xf numFmtId="0" fontId="113" fillId="0" borderId="0">
      <alignment horizontal="left"/>
    </xf>
    <xf numFmtId="0" fontId="113" fillId="0" borderId="0">
      <alignment horizontal="left"/>
    </xf>
    <xf numFmtId="0" fontId="114" fillId="0" borderId="12">
      <alignment horizontal="left" vertical="top"/>
    </xf>
    <xf numFmtId="0" fontId="115" fillId="0" borderId="0">
      <alignment horizontal="left"/>
    </xf>
    <xf numFmtId="0" fontId="114" fillId="0" borderId="12">
      <alignment horizontal="left" vertical="top"/>
    </xf>
    <xf numFmtId="0" fontId="116" fillId="0" borderId="12">
      <alignment horizontal="left" vertical="top"/>
    </xf>
    <xf numFmtId="0" fontId="42" fillId="0" borderId="0"/>
    <xf numFmtId="0" fontId="117" fillId="0" borderId="12">
      <alignment horizontal="left" vertical="top"/>
    </xf>
    <xf numFmtId="0" fontId="118" fillId="0" borderId="0">
      <alignment horizontal="left"/>
    </xf>
    <xf numFmtId="0" fontId="118" fillId="0" borderId="0">
      <alignment horizontal="left"/>
    </xf>
    <xf numFmtId="0" fontId="22" fillId="0" borderId="0"/>
    <xf numFmtId="182" fontId="22" fillId="0" borderId="0" applyFill="0" applyBorder="0" applyAlignment="0"/>
    <xf numFmtId="185" fontId="22" fillId="0" borderId="0" applyFill="0" applyBorder="0" applyAlignment="0"/>
    <xf numFmtId="0" fontId="63" fillId="0" borderId="0"/>
    <xf numFmtId="0" fontId="120" fillId="0" borderId="0">
      <alignment horizontal="left"/>
    </xf>
    <xf numFmtId="0" fontId="203" fillId="0" borderId="0" applyNumberFormat="0" applyFill="0" applyBorder="0" applyProtection="0">
      <alignment horizontal="left"/>
    </xf>
    <xf numFmtId="0" fontId="111" fillId="0" borderId="14">
      <alignment vertical="center"/>
    </xf>
    <xf numFmtId="0" fontId="121" fillId="0" borderId="0">
      <alignment horizontal="left"/>
    </xf>
    <xf numFmtId="0" fontId="112" fillId="0" borderId="0">
      <alignment horizontal="left"/>
    </xf>
    <xf numFmtId="186" fontId="22" fillId="0" borderId="0" applyFill="0" applyBorder="0" applyAlignment="0"/>
    <xf numFmtId="0" fontId="115" fillId="0" borderId="0"/>
    <xf numFmtId="0" fontId="112" fillId="0" borderId="0"/>
    <xf numFmtId="0" fontId="78" fillId="0" borderId="0"/>
    <xf numFmtId="0" fontId="78" fillId="0" borderId="0"/>
    <xf numFmtId="0" fontId="122" fillId="0" borderId="0"/>
    <xf numFmtId="0" fontId="122" fillId="0" borderId="0"/>
    <xf numFmtId="0" fontId="78" fillId="0" borderId="0"/>
    <xf numFmtId="0" fontId="78" fillId="0" borderId="0"/>
    <xf numFmtId="0" fontId="122" fillId="0" borderId="0"/>
    <xf numFmtId="0" fontId="78" fillId="0" borderId="0"/>
    <xf numFmtId="0" fontId="119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/>
    <xf numFmtId="0" fontId="85" fillId="0" borderId="0"/>
    <xf numFmtId="0" fontId="124" fillId="41" borderId="0" applyNumberFormat="0" applyBorder="0" applyAlignment="0" applyProtection="0"/>
    <xf numFmtId="0" fontId="124" fillId="42" borderId="0" applyNumberFormat="0" applyBorder="0" applyAlignment="0" applyProtection="0"/>
    <xf numFmtId="0" fontId="124" fillId="43" borderId="0" applyNumberFormat="0" applyBorder="0" applyAlignment="0" applyProtection="0"/>
    <xf numFmtId="0" fontId="124" fillId="44" borderId="0" applyNumberFormat="0" applyBorder="0" applyAlignment="0" applyProtection="0"/>
    <xf numFmtId="0" fontId="124" fillId="45" borderId="0" applyNumberFormat="0" applyBorder="0" applyAlignment="0" applyProtection="0"/>
    <xf numFmtId="0" fontId="124" fillId="46" borderId="0" applyNumberFormat="0" applyBorder="0" applyAlignment="0" applyProtection="0"/>
    <xf numFmtId="0" fontId="124" fillId="47" borderId="0" applyNumberFormat="0" applyBorder="0" applyAlignment="0" applyProtection="0"/>
    <xf numFmtId="0" fontId="124" fillId="48" borderId="0" applyNumberFormat="0" applyBorder="0" applyAlignment="0" applyProtection="0"/>
    <xf numFmtId="0" fontId="124" fillId="49" borderId="0" applyNumberFormat="0" applyBorder="0" applyAlignment="0" applyProtection="0"/>
    <xf numFmtId="0" fontId="124" fillId="44" borderId="0" applyNumberFormat="0" applyBorder="0" applyAlignment="0" applyProtection="0"/>
    <xf numFmtId="0" fontId="124" fillId="47" borderId="0" applyNumberFormat="0" applyBorder="0" applyAlignment="0" applyProtection="0"/>
    <xf numFmtId="0" fontId="124" fillId="50" borderId="0" applyNumberFormat="0" applyBorder="0" applyAlignment="0" applyProtection="0"/>
    <xf numFmtId="0" fontId="125" fillId="51" borderId="0" applyNumberFormat="0" applyBorder="0" applyAlignment="0" applyProtection="0"/>
    <xf numFmtId="0" fontId="125" fillId="48" borderId="0" applyNumberFormat="0" applyBorder="0" applyAlignment="0" applyProtection="0"/>
    <xf numFmtId="0" fontId="125" fillId="49" borderId="0" applyNumberFormat="0" applyBorder="0" applyAlignment="0" applyProtection="0"/>
    <xf numFmtId="0" fontId="125" fillId="52" borderId="0" applyNumberFormat="0" applyBorder="0" applyAlignment="0" applyProtection="0"/>
    <xf numFmtId="0" fontId="125" fillId="53" borderId="0" applyNumberFormat="0" applyBorder="0" applyAlignment="0" applyProtection="0"/>
    <xf numFmtId="0" fontId="125" fillId="54" borderId="0" applyNumberFormat="0" applyBorder="0" applyAlignment="0" applyProtection="0"/>
    <xf numFmtId="177" fontId="126" fillId="0" borderId="0"/>
    <xf numFmtId="177" fontId="127" fillId="0" borderId="0"/>
    <xf numFmtId="166" fontId="45" fillId="0" borderId="0" applyFont="0" applyBorder="0" applyAlignment="0"/>
    <xf numFmtId="177" fontId="128" fillId="0" borderId="0"/>
    <xf numFmtId="3" fontId="129" fillId="0" borderId="13"/>
    <xf numFmtId="166" fontId="85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5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2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1" fillId="0" borderId="0" applyFont="0" applyFill="0" applyBorder="0" applyAlignment="0" applyProtection="0"/>
    <xf numFmtId="182" fontId="22" fillId="0" borderId="0" applyFill="0" applyBorder="0" applyAlignment="0"/>
    <xf numFmtId="166" fontId="41" fillId="0" borderId="0" applyFont="0" applyFill="0" applyBorder="0" applyAlignment="0" applyProtection="0"/>
    <xf numFmtId="166" fontId="151" fillId="0" borderId="0" applyFont="0" applyFill="0" applyBorder="0" applyAlignment="0" applyProtection="0"/>
    <xf numFmtId="182" fontId="22" fillId="0" borderId="0" applyFont="0" applyFill="0" applyBorder="0" applyAlignment="0" applyProtection="0"/>
    <xf numFmtId="196" fontId="41" fillId="0" borderId="0" applyFont="0" applyFill="0" applyBorder="0" applyAlignment="0" applyProtection="0"/>
    <xf numFmtId="0" fontId="224" fillId="0" borderId="0" applyNumberFormat="0" applyFill="0" applyBorder="0" applyAlignment="0" applyProtection="0"/>
    <xf numFmtId="4" fontId="102" fillId="0" borderId="0" applyFont="0" applyFill="0" applyBorder="0" applyAlignment="0" applyProtection="0"/>
    <xf numFmtId="10" fontId="59" fillId="39" borderId="25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166" fontId="151" fillId="0" borderId="0" applyFont="0" applyFill="0" applyBorder="0" applyAlignment="0" applyProtection="0"/>
    <xf numFmtId="0" fontId="52" fillId="0" borderId="0">
      <alignment horizontal="left"/>
    </xf>
    <xf numFmtId="0" fontId="53" fillId="0" borderId="0"/>
    <xf numFmtId="0" fontId="54" fillId="0" borderId="0">
      <alignment horizontal="left"/>
    </xf>
    <xf numFmtId="0" fontId="55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0" fontId="56" fillId="0" borderId="0">
      <alignment horizontal="left"/>
    </xf>
    <xf numFmtId="0" fontId="57" fillId="0" borderId="0">
      <alignment horizontal="left"/>
    </xf>
    <xf numFmtId="0" fontId="58" fillId="0" borderId="0">
      <alignment horizontal="left"/>
    </xf>
    <xf numFmtId="0" fontId="58" fillId="0" borderId="0">
      <alignment horizontal="left"/>
    </xf>
    <xf numFmtId="0" fontId="112" fillId="0" borderId="0">
      <alignment horizontal="left"/>
    </xf>
    <xf numFmtId="0" fontId="22" fillId="0" borderId="0"/>
    <xf numFmtId="0" fontId="60" fillId="0" borderId="0">
      <alignment horizontal="left"/>
    </xf>
    <xf numFmtId="0" fontId="60" fillId="0" borderId="0">
      <alignment horizontal="left"/>
    </xf>
    <xf numFmtId="0" fontId="113" fillId="0" borderId="0">
      <alignment horizontal="left"/>
    </xf>
    <xf numFmtId="0" fontId="61" fillId="0" borderId="0">
      <alignment horizontal="left"/>
    </xf>
    <xf numFmtId="0" fontId="62" fillId="0" borderId="12">
      <alignment horizontal="left" vertical="top"/>
    </xf>
    <xf numFmtId="0" fontId="64" fillId="0" borderId="12">
      <alignment horizontal="left" vertical="top"/>
    </xf>
    <xf numFmtId="0" fontId="65" fillId="0" borderId="0">
      <alignment horizontal="left"/>
    </xf>
    <xf numFmtId="216" fontId="198" fillId="39" borderId="0">
      <alignment horizontal="left" vertical="top"/>
    </xf>
    <xf numFmtId="178" fontId="130" fillId="0" borderId="0"/>
    <xf numFmtId="177" fontId="127" fillId="0" borderId="0"/>
    <xf numFmtId="0" fontId="41" fillId="0" borderId="0"/>
    <xf numFmtId="0" fontId="151" fillId="0" borderId="0"/>
    <xf numFmtId="0" fontId="1" fillId="0" borderId="0"/>
    <xf numFmtId="0" fontId="50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41" fillId="0" borderId="0"/>
    <xf numFmtId="0" fontId="151" fillId="0" borderId="0"/>
    <xf numFmtId="0" fontId="50" fillId="0" borderId="0"/>
    <xf numFmtId="166" fontId="22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153" fillId="0" borderId="0"/>
    <xf numFmtId="0" fontId="124" fillId="0" borderId="0"/>
    <xf numFmtId="0" fontId="124" fillId="0" borderId="0"/>
    <xf numFmtId="0" fontId="85" fillId="0" borderId="0"/>
    <xf numFmtId="0" fontId="41" fillId="0" borderId="0">
      <alignment vertical="top"/>
    </xf>
    <xf numFmtId="0" fontId="151" fillId="0" borderId="0"/>
    <xf numFmtId="0" fontId="151" fillId="0" borderId="0"/>
    <xf numFmtId="0" fontId="151" fillId="0" borderId="0"/>
    <xf numFmtId="0" fontId="152" fillId="0" borderId="0"/>
    <xf numFmtId="0" fontId="151" fillId="0" borderId="0"/>
    <xf numFmtId="0" fontId="151" fillId="0" borderId="0"/>
    <xf numFmtId="0" fontId="151" fillId="0" borderId="0"/>
    <xf numFmtId="0" fontId="8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4" fillId="0" borderId="0"/>
    <xf numFmtId="0" fontId="131" fillId="0" borderId="0"/>
    <xf numFmtId="0" fontId="41" fillId="0" borderId="0">
      <alignment vertical="top"/>
    </xf>
    <xf numFmtId="0" fontId="151" fillId="0" borderId="0"/>
    <xf numFmtId="0" fontId="151" fillId="0" borderId="0"/>
    <xf numFmtId="0" fontId="151" fillId="0" borderId="0"/>
    <xf numFmtId="0" fontId="102" fillId="0" borderId="0"/>
    <xf numFmtId="166" fontId="3" fillId="0" borderId="0" applyFont="0" applyFill="0" applyBorder="0" applyAlignment="0" applyProtection="0"/>
    <xf numFmtId="0" fontId="41" fillId="0" borderId="0">
      <alignment vertical="top"/>
    </xf>
    <xf numFmtId="0" fontId="151" fillId="0" borderId="0"/>
    <xf numFmtId="0" fontId="41" fillId="0" borderId="0"/>
    <xf numFmtId="0" fontId="151" fillId="0" borderId="0"/>
    <xf numFmtId="0" fontId="1" fillId="0" borderId="0"/>
    <xf numFmtId="0" fontId="151" fillId="0" borderId="0"/>
    <xf numFmtId="0" fontId="1" fillId="0" borderId="0"/>
    <xf numFmtId="0" fontId="151" fillId="0" borderId="0"/>
    <xf numFmtId="0" fontId="41" fillId="0" borderId="0"/>
    <xf numFmtId="0" fontId="68" fillId="0" borderId="0"/>
    <xf numFmtId="179" fontId="132" fillId="0" borderId="0"/>
    <xf numFmtId="0" fontId="69" fillId="0" borderId="0">
      <alignment horizontal="left"/>
    </xf>
    <xf numFmtId="191" fontId="177" fillId="0" borderId="0"/>
    <xf numFmtId="179" fontId="133" fillId="63" borderId="0" applyFont="0" applyAlignment="0"/>
    <xf numFmtId="0" fontId="57" fillId="0" borderId="14">
      <alignment vertical="center"/>
    </xf>
    <xf numFmtId="0" fontId="49" fillId="0" borderId="0">
      <alignment vertical="top"/>
    </xf>
    <xf numFmtId="0" fontId="70" fillId="0" borderId="0">
      <alignment horizontal="left"/>
    </xf>
    <xf numFmtId="0" fontId="58" fillId="0" borderId="0">
      <alignment horizontal="left"/>
    </xf>
    <xf numFmtId="0" fontId="61" fillId="0" borderId="0"/>
    <xf numFmtId="0" fontId="58" fillId="0" borderId="0"/>
    <xf numFmtId="0" fontId="71" fillId="0" borderId="0"/>
    <xf numFmtId="0" fontId="71" fillId="0" borderId="0"/>
    <xf numFmtId="0" fontId="72" fillId="0" borderId="0"/>
    <xf numFmtId="0" fontId="72" fillId="0" borderId="0"/>
    <xf numFmtId="0" fontId="71" fillId="0" borderId="0"/>
    <xf numFmtId="0" fontId="71" fillId="0" borderId="0"/>
    <xf numFmtId="180" fontId="134" fillId="0" borderId="0"/>
    <xf numFmtId="0" fontId="72" fillId="0" borderId="0"/>
    <xf numFmtId="0" fontId="71" fillId="0" borderId="0"/>
    <xf numFmtId="179" fontId="135" fillId="64" borderId="0"/>
    <xf numFmtId="0" fontId="140" fillId="59" borderId="15" applyNumberFormat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02" fillId="0" borderId="0"/>
    <xf numFmtId="173" fontId="185" fillId="0" borderId="0" applyNumberFormat="0">
      <alignment horizontal="right"/>
    </xf>
    <xf numFmtId="209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143" fillId="0" borderId="0" applyNumberFormat="0" applyFill="0" applyBorder="0" applyAlignment="0" applyProtection="0"/>
    <xf numFmtId="0" fontId="136" fillId="60" borderId="16" applyNumberFormat="0" applyAlignment="0" applyProtection="0"/>
    <xf numFmtId="0" fontId="137" fillId="0" borderId="20" applyNumberFormat="0" applyFill="0" applyAlignment="0" applyProtection="0"/>
    <xf numFmtId="4" fontId="102" fillId="0" borderId="0" applyFont="0" applyFill="0" applyBorder="0" applyAlignment="0" applyProtection="0"/>
    <xf numFmtId="0" fontId="102" fillId="0" borderId="0"/>
    <xf numFmtId="0" fontId="144" fillId="43" borderId="0" applyNumberFormat="0" applyBorder="0" applyAlignment="0" applyProtection="0"/>
    <xf numFmtId="166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5" fillId="46" borderId="15" applyNumberFormat="0" applyAlignment="0" applyProtection="0"/>
    <xf numFmtId="0" fontId="146" fillId="61" borderId="0" applyNumberFormat="0" applyBorder="0" applyAlignment="0" applyProtection="0"/>
    <xf numFmtId="0" fontId="147" fillId="0" borderId="23" applyNumberFormat="0" applyFill="0" applyAlignment="0" applyProtection="0"/>
    <xf numFmtId="0" fontId="138" fillId="42" borderId="0" applyNumberFormat="0" applyBorder="0" applyAlignment="0" applyProtection="0"/>
    <xf numFmtId="0" fontId="125" fillId="55" borderId="0" applyNumberFormat="0" applyBorder="0" applyAlignment="0" applyProtection="0"/>
    <xf numFmtId="0" fontId="125" fillId="56" borderId="0" applyNumberFormat="0" applyBorder="0" applyAlignment="0" applyProtection="0"/>
    <xf numFmtId="0" fontId="125" fillId="57" borderId="0" applyNumberFormat="0" applyBorder="0" applyAlignment="0" applyProtection="0"/>
    <xf numFmtId="0" fontId="125" fillId="52" borderId="0" applyNumberFormat="0" applyBorder="0" applyAlignment="0" applyProtection="0"/>
    <xf numFmtId="0" fontId="125" fillId="53" borderId="0" applyNumberFormat="0" applyBorder="0" applyAlignment="0" applyProtection="0"/>
    <xf numFmtId="0" fontId="125" fillId="58" borderId="0" applyNumberFormat="0" applyBorder="0" applyAlignment="0" applyProtection="0"/>
    <xf numFmtId="0" fontId="139" fillId="59" borderId="22" applyNumberFormat="0" applyAlignment="0" applyProtection="0"/>
    <xf numFmtId="0" fontId="22" fillId="62" borderId="21" applyNumberFormat="0" applyFont="0" applyAlignment="0" applyProtection="0"/>
    <xf numFmtId="0" fontId="148" fillId="0" borderId="17" applyNumberFormat="0" applyFill="0" applyAlignment="0" applyProtection="0"/>
    <xf numFmtId="0" fontId="149" fillId="0" borderId="18" applyNumberFormat="0" applyFill="0" applyAlignment="0" applyProtection="0"/>
    <xf numFmtId="0" fontId="150" fillId="0" borderId="19" applyNumberFormat="0" applyFill="0" applyAlignment="0" applyProtection="0"/>
    <xf numFmtId="0" fontId="150" fillId="0" borderId="0" applyNumberFormat="0" applyFill="0" applyBorder="0" applyAlignment="0" applyProtection="0"/>
    <xf numFmtId="165" fontId="51" fillId="0" borderId="0" applyFont="0" applyFill="0" applyBorder="0" applyAlignment="0" applyProtection="0"/>
    <xf numFmtId="9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161" fillId="10" borderId="4" applyNumberFormat="0" applyAlignment="0" applyProtection="0"/>
    <xf numFmtId="166" fontId="41" fillId="0" borderId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63" fillId="0" borderId="0"/>
    <xf numFmtId="9" fontId="41" fillId="0" borderId="0" applyFont="0" applyFill="0" applyBorder="0" applyAlignment="0" applyProtection="0"/>
    <xf numFmtId="0" fontId="161" fillId="10" borderId="4" applyNumberFormat="0" applyAlignment="0" applyProtection="0"/>
    <xf numFmtId="0" fontId="85" fillId="0" borderId="0"/>
    <xf numFmtId="0" fontId="85" fillId="0" borderId="0"/>
    <xf numFmtId="166" fontId="41" fillId="0" borderId="0" applyFont="0" applyFill="0" applyBorder="0" applyAlignment="0" applyProtection="0"/>
    <xf numFmtId="3" fontId="169" fillId="65" borderId="13">
      <alignment horizontal="left" vertical="top" wrapText="1"/>
      <protection locked="0"/>
    </xf>
    <xf numFmtId="0" fontId="169" fillId="66" borderId="13">
      <alignment horizontal="left" vertical="top" wrapText="1"/>
    </xf>
    <xf numFmtId="0" fontId="51" fillId="0" borderId="0">
      <alignment vertical="top"/>
    </xf>
    <xf numFmtId="165" fontId="51" fillId="0" borderId="0" applyFont="0" applyFill="0" applyBorder="0" applyAlignment="0" applyProtection="0"/>
    <xf numFmtId="0" fontId="155" fillId="0" borderId="1" applyNumberFormat="0" applyFill="0" applyAlignment="0" applyProtection="0"/>
    <xf numFmtId="0" fontId="156" fillId="0" borderId="2" applyNumberFormat="0" applyFill="0" applyAlignment="0" applyProtection="0"/>
    <xf numFmtId="0" fontId="157" fillId="0" borderId="3" applyNumberFormat="0" applyFill="0" applyAlignment="0" applyProtection="0"/>
    <xf numFmtId="0" fontId="85" fillId="13" borderId="8" applyNumberFormat="0" applyFont="0" applyAlignment="0" applyProtection="0"/>
    <xf numFmtId="0" fontId="157" fillId="0" borderId="0" applyNumberFormat="0" applyFill="0" applyBorder="0" applyAlignment="0" applyProtection="0"/>
    <xf numFmtId="0" fontId="158" fillId="7" borderId="0" applyNumberFormat="0" applyBorder="0" applyAlignment="0" applyProtection="0"/>
    <xf numFmtId="0" fontId="159" fillId="8" borderId="0" applyNumberFormat="0" applyBorder="0" applyAlignment="0" applyProtection="0"/>
    <xf numFmtId="0" fontId="160" fillId="9" borderId="0" applyNumberFormat="0" applyBorder="0" applyAlignment="0" applyProtection="0"/>
    <xf numFmtId="0" fontId="161" fillId="10" borderId="4" applyNumberFormat="0" applyAlignment="0" applyProtection="0"/>
    <xf numFmtId="0" fontId="162" fillId="11" borderId="5" applyNumberFormat="0" applyAlignment="0" applyProtection="0"/>
    <xf numFmtId="0" fontId="163" fillId="11" borderId="4" applyNumberFormat="0" applyAlignment="0" applyProtection="0"/>
    <xf numFmtId="0" fontId="164" fillId="0" borderId="6" applyNumberFormat="0" applyFill="0" applyAlignment="0" applyProtection="0"/>
    <xf numFmtId="0" fontId="165" fillId="12" borderId="7" applyNumberFormat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54" fillId="0" borderId="9" applyNumberFormat="0" applyFill="0" applyAlignment="0" applyProtection="0"/>
    <xf numFmtId="0" fontId="168" fillId="14" borderId="0" applyNumberFormat="0" applyBorder="0" applyAlignment="0" applyProtection="0"/>
    <xf numFmtId="0" fontId="168" fillId="17" borderId="0" applyNumberFormat="0" applyBorder="0" applyAlignment="0" applyProtection="0"/>
    <xf numFmtId="0" fontId="168" fillId="18" borderId="0" applyNumberFormat="0" applyBorder="0" applyAlignment="0" applyProtection="0"/>
    <xf numFmtId="0" fontId="168" fillId="21" borderId="0" applyNumberFormat="0" applyBorder="0" applyAlignment="0" applyProtection="0"/>
    <xf numFmtId="0" fontId="168" fillId="22" borderId="0" applyNumberFormat="0" applyBorder="0" applyAlignment="0" applyProtection="0"/>
    <xf numFmtId="0" fontId="168" fillId="25" borderId="0" applyNumberFormat="0" applyBorder="0" applyAlignment="0" applyProtection="0"/>
    <xf numFmtId="0" fontId="168" fillId="26" borderId="0" applyNumberFormat="0" applyBorder="0" applyAlignment="0" applyProtection="0"/>
    <xf numFmtId="0" fontId="168" fillId="29" borderId="0" applyNumberFormat="0" applyBorder="0" applyAlignment="0" applyProtection="0"/>
    <xf numFmtId="0" fontId="168" fillId="30" borderId="0" applyNumberFormat="0" applyBorder="0" applyAlignment="0" applyProtection="0"/>
    <xf numFmtId="0" fontId="168" fillId="33" borderId="0" applyNumberFormat="0" applyBorder="0" applyAlignment="0" applyProtection="0"/>
    <xf numFmtId="0" fontId="168" fillId="34" borderId="0" applyNumberFormat="0" applyBorder="0" applyAlignment="0" applyProtection="0"/>
    <xf numFmtId="0" fontId="168" fillId="37" borderId="0" applyNumberFormat="0" applyBorder="0" applyAlignment="0" applyProtection="0"/>
    <xf numFmtId="0" fontId="85" fillId="15" borderId="0" applyNumberFormat="0" applyBorder="0" applyAlignment="0" applyProtection="0"/>
    <xf numFmtId="0" fontId="85" fillId="19" borderId="0" applyNumberFormat="0" applyBorder="0" applyAlignment="0" applyProtection="0"/>
    <xf numFmtId="0" fontId="85" fillId="23" borderId="0" applyNumberFormat="0" applyBorder="0" applyAlignment="0" applyProtection="0"/>
    <xf numFmtId="0" fontId="85" fillId="27" borderId="0" applyNumberFormat="0" applyBorder="0" applyAlignment="0" applyProtection="0"/>
    <xf numFmtId="0" fontId="85" fillId="31" borderId="0" applyNumberFormat="0" applyBorder="0" applyAlignment="0" applyProtection="0"/>
    <xf numFmtId="0" fontId="85" fillId="35" borderId="0" applyNumberFormat="0" applyBorder="0" applyAlignment="0" applyProtection="0"/>
    <xf numFmtId="0" fontId="85" fillId="16" borderId="0" applyNumberFormat="0" applyBorder="0" applyAlignment="0" applyProtection="0"/>
    <xf numFmtId="0" fontId="85" fillId="20" borderId="0" applyNumberFormat="0" applyBorder="0" applyAlignment="0" applyProtection="0"/>
    <xf numFmtId="0" fontId="85" fillId="24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6" borderId="0" applyNumberFormat="0" applyBorder="0" applyAlignment="0" applyProtection="0"/>
    <xf numFmtId="0" fontId="41" fillId="0" borderId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0" fontId="170" fillId="0" borderId="0">
      <alignment vertical="top"/>
    </xf>
    <xf numFmtId="0" fontId="85" fillId="15" borderId="0" applyNumberFormat="0" applyBorder="0" applyAlignment="0" applyProtection="0"/>
    <xf numFmtId="0" fontId="85" fillId="19" borderId="0" applyNumberFormat="0" applyBorder="0" applyAlignment="0" applyProtection="0"/>
    <xf numFmtId="0" fontId="85" fillId="23" borderId="0" applyNumberFormat="0" applyBorder="0" applyAlignment="0" applyProtection="0"/>
    <xf numFmtId="0" fontId="85" fillId="27" borderId="0" applyNumberFormat="0" applyBorder="0" applyAlignment="0" applyProtection="0"/>
    <xf numFmtId="0" fontId="85" fillId="31" borderId="0" applyNumberFormat="0" applyBorder="0" applyAlignment="0" applyProtection="0"/>
    <xf numFmtId="0" fontId="85" fillId="35" borderId="0" applyNumberFormat="0" applyBorder="0" applyAlignment="0" applyProtection="0"/>
    <xf numFmtId="0" fontId="85" fillId="16" borderId="0" applyNumberFormat="0" applyBorder="0" applyAlignment="0" applyProtection="0"/>
    <xf numFmtId="0" fontId="85" fillId="20" borderId="0" applyNumberFormat="0" applyBorder="0" applyAlignment="0" applyProtection="0"/>
    <xf numFmtId="0" fontId="85" fillId="24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6" borderId="0" applyNumberFormat="0" applyBorder="0" applyAlignment="0" applyProtection="0"/>
    <xf numFmtId="0" fontId="168" fillId="17" borderId="0" applyNumberFormat="0" applyBorder="0" applyAlignment="0" applyProtection="0"/>
    <xf numFmtId="0" fontId="168" fillId="21" borderId="0" applyNumberFormat="0" applyBorder="0" applyAlignment="0" applyProtection="0"/>
    <xf numFmtId="0" fontId="168" fillId="25" borderId="0" applyNumberFormat="0" applyBorder="0" applyAlignment="0" applyProtection="0"/>
    <xf numFmtId="0" fontId="168" fillId="29" borderId="0" applyNumberFormat="0" applyBorder="0" applyAlignment="0" applyProtection="0"/>
    <xf numFmtId="0" fontId="168" fillId="33" borderId="0" applyNumberFormat="0" applyBorder="0" applyAlignment="0" applyProtection="0"/>
    <xf numFmtId="0" fontId="168" fillId="37" borderId="0" applyNumberFormat="0" applyBorder="0" applyAlignment="0" applyProtection="0"/>
    <xf numFmtId="0" fontId="168" fillId="14" borderId="0" applyNumberFormat="0" applyBorder="0" applyAlignment="0" applyProtection="0"/>
    <xf numFmtId="0" fontId="168" fillId="18" borderId="0" applyNumberFormat="0" applyBorder="0" applyAlignment="0" applyProtection="0"/>
    <xf numFmtId="0" fontId="168" fillId="22" borderId="0" applyNumberFormat="0" applyBorder="0" applyAlignment="0" applyProtection="0"/>
    <xf numFmtId="0" fontId="168" fillId="26" borderId="0" applyNumberFormat="0" applyBorder="0" applyAlignment="0" applyProtection="0"/>
    <xf numFmtId="0" fontId="168" fillId="30" borderId="0" applyNumberFormat="0" applyBorder="0" applyAlignment="0" applyProtection="0"/>
    <xf numFmtId="0" fontId="168" fillId="34" borderId="0" applyNumberFormat="0" applyBorder="0" applyAlignment="0" applyProtection="0"/>
    <xf numFmtId="0" fontId="159" fillId="8" borderId="0" applyNumberFormat="0" applyBorder="0" applyAlignment="0" applyProtection="0"/>
    <xf numFmtId="0" fontId="163" fillId="11" borderId="4" applyNumberFormat="0" applyAlignment="0" applyProtection="0"/>
    <xf numFmtId="0" fontId="165" fillId="12" borderId="7" applyNumberFormat="0" applyAlignment="0" applyProtection="0"/>
    <xf numFmtId="0" fontId="79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58" fillId="7" borderId="0" applyNumberFormat="0" applyBorder="0" applyAlignment="0" applyProtection="0"/>
    <xf numFmtId="0" fontId="114" fillId="0" borderId="12">
      <alignment horizontal="left" vertical="top"/>
    </xf>
    <xf numFmtId="0" fontId="116" fillId="0" borderId="12">
      <alignment horizontal="left" vertical="top"/>
    </xf>
    <xf numFmtId="0" fontId="118" fillId="0" borderId="0">
      <alignment horizontal="left"/>
    </xf>
    <xf numFmtId="0" fontId="157" fillId="0" borderId="0" applyNumberFormat="0" applyFill="0" applyBorder="0" applyAlignment="0" applyProtection="0"/>
    <xf numFmtId="0" fontId="161" fillId="10" borderId="4" applyNumberFormat="0" applyAlignment="0" applyProtection="0"/>
    <xf numFmtId="0" fontId="164" fillId="0" borderId="6" applyNumberFormat="0" applyFill="0" applyAlignment="0" applyProtection="0"/>
    <xf numFmtId="0" fontId="160" fillId="9" borderId="0" applyNumberFormat="0" applyBorder="0" applyAlignment="0" applyProtection="0"/>
    <xf numFmtId="0" fontId="162" fillId="11" borderId="5" applyNumberFormat="0" applyAlignment="0" applyProtection="0"/>
    <xf numFmtId="174" fontId="51" fillId="0" borderId="0" applyFont="0" applyFill="0" applyBorder="0" applyAlignment="0" applyProtection="0"/>
    <xf numFmtId="0" fontId="154" fillId="0" borderId="9" applyNumberFormat="0" applyFill="0" applyAlignment="0" applyProtection="0"/>
    <xf numFmtId="0" fontId="166" fillId="0" borderId="0" applyNumberFormat="0" applyFill="0" applyBorder="0" applyAlignment="0" applyProtection="0"/>
    <xf numFmtId="0" fontId="41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85" fillId="15" borderId="0" applyNumberFormat="0" applyBorder="0" applyAlignment="0" applyProtection="0"/>
    <xf numFmtId="0" fontId="85" fillId="19" borderId="0" applyNumberFormat="0" applyBorder="0" applyAlignment="0" applyProtection="0"/>
    <xf numFmtId="0" fontId="85" fillId="23" borderId="0" applyNumberFormat="0" applyBorder="0" applyAlignment="0" applyProtection="0"/>
    <xf numFmtId="0" fontId="85" fillId="27" borderId="0" applyNumberFormat="0" applyBorder="0" applyAlignment="0" applyProtection="0"/>
    <xf numFmtId="0" fontId="85" fillId="31" borderId="0" applyNumberFormat="0" applyBorder="0" applyAlignment="0" applyProtection="0"/>
    <xf numFmtId="0" fontId="85" fillId="35" borderId="0" applyNumberFormat="0" applyBorder="0" applyAlignment="0" applyProtection="0"/>
    <xf numFmtId="0" fontId="85" fillId="16" borderId="0" applyNumberFormat="0" applyBorder="0" applyAlignment="0" applyProtection="0"/>
    <xf numFmtId="0" fontId="85" fillId="20" borderId="0" applyNumberFormat="0" applyBorder="0" applyAlignment="0" applyProtection="0"/>
    <xf numFmtId="0" fontId="85" fillId="24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6" borderId="0" applyNumberFormat="0" applyBorder="0" applyAlignment="0" applyProtection="0"/>
    <xf numFmtId="165" fontId="51" fillId="0" borderId="0" applyFont="0" applyFill="0" applyBorder="0" applyAlignment="0" applyProtection="0"/>
    <xf numFmtId="0" fontId="85" fillId="0" borderId="0"/>
    <xf numFmtId="165" fontId="51" fillId="0" borderId="0" applyFont="0" applyFill="0" applyBorder="0" applyAlignment="0" applyProtection="0"/>
    <xf numFmtId="0" fontId="63" fillId="0" borderId="0"/>
    <xf numFmtId="0" fontId="85" fillId="13" borderId="8" applyNumberFormat="0" applyFont="0" applyAlignment="0" applyProtection="0"/>
    <xf numFmtId="174" fontId="51" fillId="0" borderId="0" applyFont="0" applyFill="0" applyBorder="0" applyAlignment="0" applyProtection="0"/>
    <xf numFmtId="174" fontId="5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51" fillId="0" borderId="0">
      <alignment vertical="top"/>
    </xf>
    <xf numFmtId="0" fontId="161" fillId="10" borderId="4" applyNumberFormat="0" applyAlignment="0" applyProtection="0"/>
    <xf numFmtId="9" fontId="51" fillId="0" borderId="0" applyFont="0" applyFill="0" applyBorder="0" applyAlignment="0" applyProtection="0"/>
    <xf numFmtId="9" fontId="41" fillId="0" borderId="0" applyFont="0" applyFill="0" applyBorder="0" applyAlignment="0" applyProtection="0"/>
    <xf numFmtId="174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85" fillId="0" borderId="0"/>
    <xf numFmtId="0" fontId="161" fillId="10" borderId="4" applyNumberFormat="0" applyAlignment="0" applyProtection="0"/>
    <xf numFmtId="0" fontId="161" fillId="10" borderId="4" applyNumberFormat="0" applyAlignment="0" applyProtection="0"/>
    <xf numFmtId="0" fontId="41" fillId="0" borderId="0"/>
    <xf numFmtId="0" fontId="170" fillId="0" borderId="0">
      <alignment vertical="top"/>
    </xf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85" fillId="0" borderId="0"/>
    <xf numFmtId="0" fontId="85" fillId="0" borderId="0"/>
    <xf numFmtId="0" fontId="161" fillId="10" borderId="4" applyNumberFormat="0" applyAlignment="0" applyProtection="0"/>
    <xf numFmtId="166" fontId="51" fillId="0" borderId="0" applyFont="0" applyFill="0" applyBorder="0" applyAlignment="0" applyProtection="0"/>
    <xf numFmtId="0" fontId="170" fillId="0" borderId="0">
      <alignment vertical="top"/>
    </xf>
    <xf numFmtId="0" fontId="170" fillId="0" borderId="0">
      <alignment vertical="top"/>
    </xf>
    <xf numFmtId="9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61" fillId="10" borderId="4" applyNumberFormat="0" applyAlignment="0" applyProtection="0"/>
    <xf numFmtId="0" fontId="63" fillId="0" borderId="0"/>
    <xf numFmtId="0" fontId="51" fillId="0" borderId="0"/>
    <xf numFmtId="0" fontId="51" fillId="0" borderId="0"/>
    <xf numFmtId="0" fontId="51" fillId="0" borderId="0"/>
    <xf numFmtId="187" fontId="41" fillId="0" borderId="0" applyFont="0" applyFill="0" applyBorder="0" applyAlignment="0" applyProtection="0"/>
    <xf numFmtId="0" fontId="225" fillId="43" borderId="0" applyNumberFormat="0" applyBorder="0" applyAlignment="0" applyProtection="0"/>
    <xf numFmtId="0" fontId="129" fillId="0" borderId="0" applyNumberFormat="0" applyFont="0" applyFill="0" applyBorder="0" applyAlignment="0" applyProtection="0">
      <alignment horizontal="left"/>
    </xf>
    <xf numFmtId="9" fontId="42" fillId="0" borderId="0" applyFont="0" applyFill="0" applyBorder="0" applyAlignment="0" applyProtection="0"/>
    <xf numFmtId="0" fontId="41" fillId="0" borderId="0"/>
    <xf numFmtId="0" fontId="180" fillId="0" borderId="0" applyNumberFormat="0" applyAlignment="0">
      <alignment horizontal="left"/>
    </xf>
    <xf numFmtId="14" fontId="49" fillId="0" borderId="0" applyFill="0" applyBorder="0" applyAlignment="0"/>
    <xf numFmtId="0" fontId="224" fillId="0" borderId="19" applyNumberFormat="0" applyFill="0" applyAlignment="0" applyProtection="0"/>
    <xf numFmtId="0" fontId="41" fillId="0" borderId="0"/>
    <xf numFmtId="164" fontId="102" fillId="0" borderId="0" applyFont="0" applyFill="0" applyBorder="0" applyAlignment="0" applyProtection="0"/>
    <xf numFmtId="174" fontId="46" fillId="0" borderId="0"/>
    <xf numFmtId="4" fontId="187" fillId="0" borderId="0" applyFont="0" applyFill="0" applyBorder="0" applyAlignment="0" applyProtection="0"/>
    <xf numFmtId="0" fontId="41" fillId="0" borderId="0"/>
    <xf numFmtId="182" fontId="22" fillId="0" borderId="0" applyFill="0" applyBorder="0" applyAlignment="0"/>
    <xf numFmtId="0" fontId="172" fillId="0" borderId="27">
      <alignment horizontal="left" vertical="center"/>
    </xf>
    <xf numFmtId="183" fontId="171" fillId="0" borderId="0" applyFill="0" applyBorder="0" applyAlignment="0"/>
    <xf numFmtId="0" fontId="42" fillId="0" borderId="0"/>
    <xf numFmtId="0" fontId="79" fillId="0" borderId="0" applyNumberFormat="0" applyFill="0" applyBorder="0" applyAlignment="0" applyProtection="0"/>
    <xf numFmtId="0" fontId="22" fillId="0" borderId="0"/>
    <xf numFmtId="0" fontId="214" fillId="69" borderId="0"/>
    <xf numFmtId="9" fontId="22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222" fillId="0" borderId="17" applyNumberFormat="0" applyFill="0" applyAlignment="0" applyProtection="0"/>
    <xf numFmtId="0" fontId="172" fillId="0" borderId="29" applyNumberFormat="0" applyAlignment="0" applyProtection="0">
      <alignment horizontal="left" vertical="center"/>
    </xf>
    <xf numFmtId="0" fontId="236" fillId="53" borderId="0" applyNumberFormat="0" applyBorder="0" applyAlignment="0" applyProtection="0"/>
    <xf numFmtId="0" fontId="236" fillId="58" borderId="0" applyNumberFormat="0" applyBorder="0" applyAlignment="0" applyProtection="0"/>
    <xf numFmtId="0" fontId="178" fillId="0" borderId="0" applyNumberFormat="0" applyFill="0" applyBorder="0" applyAlignment="0" applyProtection="0"/>
    <xf numFmtId="0" fontId="229" fillId="59" borderId="22" applyNumberFormat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92" fontId="177" fillId="0" borderId="26" applyFill="0" applyProtection="0"/>
    <xf numFmtId="192" fontId="177" fillId="0" borderId="0" applyFill="0" applyBorder="0" applyProtection="0"/>
    <xf numFmtId="166" fontId="22" fillId="0" borderId="0" applyFont="0" applyFill="0" applyBorder="0" applyAlignment="0" applyProtection="0"/>
    <xf numFmtId="0" fontId="129" fillId="68" borderId="0" applyNumberFormat="0" applyFont="0" applyBorder="0" applyAlignment="0" applyProtection="0"/>
    <xf numFmtId="182" fontId="22" fillId="0" borderId="0" applyFill="0" applyBorder="0" applyAlignment="0"/>
    <xf numFmtId="0" fontId="206" fillId="0" borderId="0"/>
    <xf numFmtId="38" fontId="129" fillId="0" borderId="0" applyFont="0" applyFill="0" applyBorder="0" applyAlignment="0" applyProtection="0"/>
    <xf numFmtId="183" fontId="171" fillId="0" borderId="0" applyFill="0" applyBorder="0" applyAlignment="0"/>
    <xf numFmtId="3" fontId="129" fillId="0" borderId="25"/>
    <xf numFmtId="182" fontId="22" fillId="0" borderId="0" applyFill="0" applyBorder="0" applyAlignment="0"/>
    <xf numFmtId="188" fontId="22" fillId="0" borderId="0" applyFill="0" applyBorder="0" applyAlignment="0"/>
    <xf numFmtId="214" fontId="208" fillId="0" borderId="0" applyFont="0" applyFill="0" applyBorder="0" applyAlignment="0" applyProtection="0"/>
    <xf numFmtId="186" fontId="22" fillId="0" borderId="0" applyFill="0" applyBorder="0" applyAlignment="0"/>
    <xf numFmtId="164" fontId="102" fillId="0" borderId="0" applyFont="0" applyFill="0" applyBorder="0" applyAlignment="0" applyProtection="0"/>
    <xf numFmtId="9" fontId="22" fillId="0" borderId="0" applyFont="0" applyFill="0" applyBorder="0" applyAlignment="0" applyProtection="0"/>
    <xf numFmtId="194" fontId="181" fillId="0" borderId="0" applyFont="0" applyFill="0" applyBorder="0" applyAlignment="0" applyProtection="0"/>
    <xf numFmtId="38" fontId="191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236" fillId="53" borderId="0" applyNumberFormat="0" applyBorder="0" applyAlignment="0" applyProtection="0"/>
    <xf numFmtId="0" fontId="174" fillId="0" borderId="0"/>
    <xf numFmtId="14" fontId="183" fillId="0" borderId="0" applyNumberFormat="0" applyFill="0" applyBorder="0" applyAlignment="0" applyProtection="0">
      <alignment horizontal="left"/>
    </xf>
    <xf numFmtId="9" fontId="46" fillId="0" borderId="0"/>
    <xf numFmtId="0" fontId="21" fillId="44" borderId="0" applyNumberFormat="0" applyBorder="0" applyAlignment="0" applyProtection="0"/>
    <xf numFmtId="0" fontId="228" fillId="46" borderId="15" applyNumberFormat="0" applyAlignment="0" applyProtection="0"/>
    <xf numFmtId="4" fontId="102" fillId="0" borderId="0" applyFont="0" applyFill="0" applyBorder="0" applyAlignment="0" applyProtection="0"/>
    <xf numFmtId="0" fontId="192" fillId="0" borderId="30">
      <alignment horizontal="center"/>
    </xf>
    <xf numFmtId="14" fontId="133" fillId="67" borderId="30">
      <alignment horizontal="center" vertical="center" wrapText="1"/>
    </xf>
    <xf numFmtId="0" fontId="41" fillId="0" borderId="0"/>
    <xf numFmtId="0" fontId="176" fillId="0" borderId="0"/>
    <xf numFmtId="0" fontId="22" fillId="0" borderId="0"/>
    <xf numFmtId="213" fontId="207" fillId="0" borderId="0"/>
    <xf numFmtId="0" fontId="42" fillId="0" borderId="0"/>
    <xf numFmtId="186" fontId="22" fillId="0" borderId="0" applyFill="0" applyBorder="0" applyAlignment="0"/>
    <xf numFmtId="166" fontId="22" fillId="0" borderId="0" applyFont="0" applyFill="0" applyBorder="0" applyAlignment="0" applyProtection="0"/>
    <xf numFmtId="0" fontId="213" fillId="0" borderId="0" applyBorder="0">
      <alignment horizontal="centerContinuous"/>
    </xf>
    <xf numFmtId="0" fontId="41" fillId="0" borderId="0"/>
    <xf numFmtId="3" fontId="208" fillId="0" borderId="0" applyFont="0" applyFill="0" applyBorder="0" applyAlignment="0" applyProtection="0"/>
    <xf numFmtId="164" fontId="102" fillId="0" borderId="0" applyFont="0" applyFill="0" applyBorder="0" applyAlignment="0" applyProtection="0"/>
    <xf numFmtId="0" fontId="174" fillId="0" borderId="0"/>
    <xf numFmtId="0" fontId="3" fillId="0" borderId="0"/>
    <xf numFmtId="185" fontId="22" fillId="0" borderId="0" applyFill="0" applyBorder="0" applyAlignment="0"/>
    <xf numFmtId="0" fontId="105" fillId="0" borderId="0"/>
    <xf numFmtId="185" fontId="22" fillId="0" borderId="0" applyFont="0" applyFill="0" applyBorder="0" applyAlignment="0" applyProtection="0"/>
    <xf numFmtId="186" fontId="22" fillId="0" borderId="0" applyFill="0" applyBorder="0" applyAlignment="0"/>
    <xf numFmtId="6" fontId="129" fillId="0" borderId="0" applyFont="0" applyFill="0" applyBorder="0" applyAlignment="0" applyProtection="0"/>
    <xf numFmtId="166" fontId="21" fillId="0" borderId="0" applyFont="0" applyFill="0" applyBorder="0" applyAlignment="0" applyProtection="0"/>
    <xf numFmtId="211" fontId="205" fillId="0" borderId="0" applyFont="0" applyFill="0" applyBorder="0" applyAlignment="0" applyProtection="0"/>
    <xf numFmtId="173" fontId="46" fillId="0" borderId="0"/>
    <xf numFmtId="38" fontId="190" fillId="0" borderId="0"/>
    <xf numFmtId="9" fontId="22" fillId="0" borderId="0" applyFont="0" applyFill="0" applyBorder="0" applyAlignment="0" applyProtection="0"/>
    <xf numFmtId="4" fontId="102" fillId="0" borderId="0" applyFont="0" applyFill="0" applyBorder="0" applyAlignment="0" applyProtection="0"/>
    <xf numFmtId="15" fontId="129" fillId="0" borderId="0" applyFont="0" applyFill="0" applyBorder="0" applyAlignment="0" applyProtection="0"/>
    <xf numFmtId="0" fontId="105" fillId="0" borderId="0"/>
    <xf numFmtId="0" fontId="41" fillId="0" borderId="0"/>
    <xf numFmtId="0" fontId="41" fillId="0" borderId="0"/>
    <xf numFmtId="166" fontId="22" fillId="0" borderId="0" applyFont="0" applyFill="0" applyBorder="0" applyAlignment="0" applyProtection="0"/>
    <xf numFmtId="183" fontId="171" fillId="0" borderId="0" applyFill="0" applyBorder="0" applyAlignment="0"/>
    <xf numFmtId="0" fontId="223" fillId="0" borderId="18" applyNumberFormat="0" applyFill="0" applyAlignment="0" applyProtection="0"/>
    <xf numFmtId="40" fontId="129" fillId="0" borderId="0" applyFont="0" applyFill="0" applyBorder="0" applyAlignment="0" applyProtection="0"/>
    <xf numFmtId="0" fontId="42" fillId="0" borderId="0"/>
    <xf numFmtId="40" fontId="210" fillId="66" borderId="0">
      <alignment horizontal="right"/>
    </xf>
    <xf numFmtId="0" fontId="204" fillId="0" borderId="0" applyNumberFormat="0" applyFill="0" applyBorder="0" applyProtection="0">
      <alignment horizontal="centerContinuous"/>
    </xf>
    <xf numFmtId="9" fontId="41" fillId="0" borderId="0" applyFont="0" applyFill="0" applyBorder="0" applyAlignment="0" applyProtection="0"/>
    <xf numFmtId="10" fontId="103" fillId="39" borderId="25" applyNumberFormat="0" applyBorder="0" applyAlignment="0" applyProtection="0"/>
    <xf numFmtId="164" fontId="102" fillId="0" borderId="0" applyFont="0" applyFill="0" applyBorder="0" applyAlignment="0" applyProtection="0"/>
    <xf numFmtId="0" fontId="208" fillId="0" borderId="0" applyFont="0" applyFill="0" applyBorder="0" applyAlignment="0" applyProtection="0"/>
    <xf numFmtId="4" fontId="129" fillId="0" borderId="0" applyFont="0" applyFill="0" applyBorder="0" applyAlignment="0" applyProtection="0"/>
    <xf numFmtId="0" fontId="105" fillId="0" borderId="0"/>
    <xf numFmtId="0" fontId="41" fillId="0" borderId="0"/>
    <xf numFmtId="0" fontId="174" fillId="0" borderId="0"/>
    <xf numFmtId="185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166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4" fontId="102" fillId="0" borderId="0" applyFont="0" applyFill="0" applyBorder="0" applyAlignment="0" applyProtection="0"/>
    <xf numFmtId="186" fontId="22" fillId="0" borderId="28">
      <alignment vertical="center"/>
    </xf>
    <xf numFmtId="182" fontId="22" fillId="0" borderId="0" applyFill="0" applyBorder="0" applyAlignment="0"/>
    <xf numFmtId="186" fontId="22" fillId="0" borderId="0" applyFill="0" applyBorder="0" applyAlignment="0"/>
    <xf numFmtId="182" fontId="22" fillId="0" borderId="0" applyFill="0" applyBorder="0" applyAlignment="0"/>
    <xf numFmtId="182" fontId="22" fillId="0" borderId="0" applyFill="0" applyBorder="0" applyAlignment="0"/>
    <xf numFmtId="0" fontId="22" fillId="0" borderId="0"/>
    <xf numFmtId="202" fontId="41" fillId="0" borderId="0" applyFont="0" applyFill="0" applyBorder="0" applyAlignment="0" applyProtection="0"/>
    <xf numFmtId="170" fontId="22" fillId="0" borderId="0" applyFont="0" applyFill="0" applyBorder="0" applyAlignment="0" applyProtection="0"/>
    <xf numFmtId="203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200" fillId="0" borderId="0" applyNumberFormat="0" applyFill="0" applyBorder="0" applyAlignment="0" applyProtection="0"/>
    <xf numFmtId="0" fontId="41" fillId="61" borderId="0" applyNumberFormat="0" applyFont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2" fillId="60" borderId="16" applyNumberFormat="0" applyAlignment="0" applyProtection="0"/>
    <xf numFmtId="213" fontId="207" fillId="0" borderId="0"/>
    <xf numFmtId="166" fontId="22" fillId="0" borderId="0" applyFont="0" applyFill="0" applyBorder="0" applyAlignment="0" applyProtection="0"/>
    <xf numFmtId="168" fontId="177" fillId="0" borderId="0"/>
    <xf numFmtId="0" fontId="236" fillId="55" borderId="0" applyNumberFormat="0" applyBorder="0" applyAlignment="0" applyProtection="0"/>
    <xf numFmtId="0" fontId="41" fillId="0" borderId="0" applyNumberFormat="0" applyFill="0" applyBorder="0" applyAlignment="0" applyProtection="0"/>
    <xf numFmtId="0" fontId="230" fillId="59" borderId="15" applyNumberFormat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5" fontId="41" fillId="0" borderId="0" applyFont="0" applyFill="0" applyBorder="0" applyAlignment="0" applyProtection="0"/>
    <xf numFmtId="186" fontId="22" fillId="0" borderId="0" applyFill="0" applyBorder="0" applyAlignment="0"/>
    <xf numFmtId="0" fontId="3" fillId="0" borderId="0"/>
    <xf numFmtId="166" fontId="41" fillId="0" borderId="0" applyFont="0" applyFill="0" applyBorder="0" applyAlignment="0" applyProtection="0"/>
    <xf numFmtId="0" fontId="41" fillId="0" borderId="0"/>
    <xf numFmtId="0" fontId="105" fillId="0" borderId="0"/>
    <xf numFmtId="0" fontId="41" fillId="0" borderId="0"/>
    <xf numFmtId="0" fontId="175" fillId="0" borderId="0" applyFill="0" applyBorder="0" applyProtection="0">
      <alignment horizontal="left" vertical="top"/>
    </xf>
    <xf numFmtId="0" fontId="202" fillId="0" borderId="31" applyNumberFormat="0" applyFill="0" applyAlignment="0" applyProtection="0"/>
    <xf numFmtId="183" fontId="171" fillId="0" borderId="0" applyFill="0" applyBorder="0" applyAlignment="0"/>
    <xf numFmtId="189" fontId="41" fillId="0" borderId="0" applyFont="0" applyFill="0" applyBorder="0" applyAlignment="0" applyProtection="0"/>
    <xf numFmtId="0" fontId="214" fillId="70" borderId="0"/>
    <xf numFmtId="0" fontId="105" fillId="0" borderId="0"/>
    <xf numFmtId="184" fontId="171" fillId="0" borderId="0" applyFill="0" applyBorder="0" applyAlignment="0"/>
    <xf numFmtId="191" fontId="177" fillId="0" borderId="0"/>
    <xf numFmtId="182" fontId="22" fillId="0" borderId="0" applyFill="0" applyBorder="0" applyAlignment="0"/>
    <xf numFmtId="0" fontId="203" fillId="0" borderId="32" applyNumberFormat="0" applyFill="0" applyProtection="0">
      <alignment horizontal="center"/>
    </xf>
    <xf numFmtId="182" fontId="22" fillId="0" borderId="0" applyFill="0" applyBorder="0" applyAlignment="0"/>
    <xf numFmtId="185" fontId="22" fillId="0" borderId="0" applyFont="0" applyFill="0" applyBorder="0" applyAlignment="0" applyProtection="0"/>
    <xf numFmtId="164" fontId="102" fillId="0" borderId="0" applyFont="0" applyFill="0" applyBorder="0" applyAlignment="0" applyProtection="0"/>
    <xf numFmtId="0" fontId="41" fillId="0" borderId="0"/>
    <xf numFmtId="8" fontId="129" fillId="0" borderId="0" applyFont="0" applyFill="0" applyBorder="0" applyAlignment="0" applyProtection="0"/>
    <xf numFmtId="212" fontId="20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45" borderId="0" applyNumberFormat="0" applyBorder="0" applyAlignment="0" applyProtection="0"/>
    <xf numFmtId="0" fontId="236" fillId="48" borderId="0" applyNumberFormat="0" applyBorder="0" applyAlignment="0" applyProtection="0"/>
    <xf numFmtId="213" fontId="207" fillId="0" borderId="0"/>
    <xf numFmtId="166" fontId="22" fillId="0" borderId="0" applyFont="0" applyFill="0" applyBorder="0" applyAlignment="0" applyProtection="0"/>
    <xf numFmtId="0" fontId="227" fillId="61" borderId="0" applyNumberFormat="0" applyBorder="0" applyAlignment="0" applyProtection="0"/>
    <xf numFmtId="0" fontId="174" fillId="62" borderId="21" applyNumberFormat="0" applyFont="0" applyAlignment="0" applyProtection="0"/>
    <xf numFmtId="0" fontId="22" fillId="0" borderId="0" applyFill="0" applyBorder="0" applyAlignment="0"/>
    <xf numFmtId="0" fontId="3" fillId="0" borderId="0"/>
    <xf numFmtId="0" fontId="42" fillId="0" borderId="0"/>
    <xf numFmtId="166" fontId="133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42" fillId="0" borderId="0"/>
    <xf numFmtId="9" fontId="22" fillId="0" borderId="0" applyFont="0" applyFill="0" applyBorder="0" applyAlignment="0" applyProtection="0"/>
    <xf numFmtId="0" fontId="236" fillId="52" borderId="0" applyNumberFormat="0" applyBorder="0" applyAlignment="0" applyProtection="0"/>
    <xf numFmtId="168" fontId="177" fillId="0" borderId="0"/>
    <xf numFmtId="190" fontId="177" fillId="0" borderId="0" applyFill="0" applyBorder="0" applyProtection="0"/>
    <xf numFmtId="164" fontId="10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36" fillId="51" borderId="0" applyNumberFormat="0" applyBorder="0" applyAlignment="0" applyProtection="0"/>
    <xf numFmtId="0" fontId="226" fillId="42" borderId="0" applyNumberFormat="0" applyBorder="0" applyAlignment="0" applyProtection="0"/>
    <xf numFmtId="166" fontId="22" fillId="0" borderId="0" applyFont="0" applyFill="0" applyBorder="0" applyAlignment="0" applyProtection="0"/>
    <xf numFmtId="213" fontId="207" fillId="0" borderId="0"/>
    <xf numFmtId="166" fontId="22" fillId="0" borderId="0" applyFont="0" applyFill="0" applyBorder="0" applyAlignment="0" applyProtection="0"/>
    <xf numFmtId="4" fontId="102" fillId="0" borderId="0" applyFont="0" applyFill="0" applyBorder="0" applyAlignment="0" applyProtection="0"/>
    <xf numFmtId="166" fontId="42" fillId="0" borderId="0" applyFont="0" applyFill="0" applyBorder="0" applyAlignment="0" applyProtection="0"/>
    <xf numFmtId="4" fontId="102" fillId="0" borderId="0" applyFont="0" applyFill="0" applyBorder="0" applyAlignment="0" applyProtection="0"/>
    <xf numFmtId="0" fontId="41" fillId="0" borderId="0"/>
    <xf numFmtId="0" fontId="22" fillId="0" borderId="0"/>
    <xf numFmtId="0" fontId="206" fillId="0" borderId="0"/>
    <xf numFmtId="166" fontId="22" fillId="0" borderId="0" applyFont="0" applyFill="0" applyBorder="0" applyAlignment="0" applyProtection="0"/>
    <xf numFmtId="4" fontId="102" fillId="0" borderId="0" applyFont="0" applyFill="0" applyBorder="0" applyAlignment="0" applyProtection="0"/>
    <xf numFmtId="0" fontId="102" fillId="0" borderId="0"/>
    <xf numFmtId="166" fontId="22" fillId="0" borderId="0" applyFont="0" applyFill="0" applyBorder="0" applyAlignment="0" applyProtection="0"/>
    <xf numFmtId="0" fontId="174" fillId="0" borderId="0"/>
    <xf numFmtId="0" fontId="201" fillId="0" borderId="0" applyNumberFormat="0" applyFill="0" applyBorder="0" applyProtection="0">
      <alignment vertical="top"/>
    </xf>
    <xf numFmtId="0" fontId="22" fillId="0" borderId="0"/>
    <xf numFmtId="166" fontId="41" fillId="0" borderId="0" applyFont="0" applyFill="0" applyBorder="0" applyAlignment="0" applyProtection="0"/>
    <xf numFmtId="0" fontId="102" fillId="0" borderId="0"/>
    <xf numFmtId="166" fontId="42" fillId="0" borderId="0" applyFont="0" applyFill="0" applyBorder="0" applyAlignment="0" applyProtection="0"/>
    <xf numFmtId="164" fontId="10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187" fillId="0" borderId="0" applyNumberFormat="0" applyFont="0" applyFill="0" applyBorder="0" applyAlignment="0" applyProtection="0">
      <alignment horizontal="left"/>
    </xf>
    <xf numFmtId="165" fontId="22" fillId="0" borderId="0" applyFont="0" applyFill="0" applyBorder="0" applyAlignment="0" applyProtection="0"/>
    <xf numFmtId="0" fontId="211" fillId="66" borderId="0">
      <alignment horizontal="right"/>
    </xf>
    <xf numFmtId="3" fontId="169" fillId="65" borderId="25">
      <alignment horizontal="left" vertical="top" wrapText="1"/>
      <protection locked="0"/>
    </xf>
    <xf numFmtId="0" fontId="169" fillId="66" borderId="25">
      <alignment horizontal="left" vertical="top" wrapText="1"/>
    </xf>
    <xf numFmtId="0" fontId="41" fillId="0" borderId="0" applyNumberFormat="0" applyFill="0" applyBorder="0" applyAlignment="0" applyProtection="0"/>
    <xf numFmtId="17" fontId="41" fillId="0" borderId="0">
      <alignment horizontal="left"/>
    </xf>
    <xf numFmtId="0" fontId="22" fillId="0" borderId="0"/>
    <xf numFmtId="9" fontId="42" fillId="0" borderId="0" applyFont="0" applyFill="0" applyBorder="0" applyAlignment="0" applyProtection="0"/>
    <xf numFmtId="0" fontId="206" fillId="0" borderId="0"/>
    <xf numFmtId="0" fontId="3" fillId="0" borderId="0"/>
    <xf numFmtId="0" fontId="236" fillId="56" borderId="0" applyNumberFormat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183" fontId="171" fillId="0" borderId="0" applyFill="0" applyBorder="0" applyAlignment="0"/>
    <xf numFmtId="0" fontId="187" fillId="0" borderId="0" applyFont="0" applyFill="0" applyBorder="0" applyAlignment="0" applyProtection="0">
      <alignment horizontal="left"/>
    </xf>
    <xf numFmtId="0" fontId="41" fillId="0" borderId="0"/>
    <xf numFmtId="0" fontId="22" fillId="0" borderId="0"/>
    <xf numFmtId="0" fontId="236" fillId="57" borderId="0" applyNumberFormat="0" applyBorder="0" applyAlignment="0" applyProtection="0"/>
    <xf numFmtId="0" fontId="21" fillId="49" borderId="0" applyNumberFormat="0" applyBorder="0" applyAlignment="0" applyProtection="0"/>
    <xf numFmtId="9" fontId="22" fillId="0" borderId="0" applyFont="0" applyFill="0" applyBorder="0" applyAlignment="0" applyProtection="0"/>
    <xf numFmtId="0" fontId="236" fillId="52" borderId="0" applyNumberFormat="0" applyBorder="0" applyAlignment="0" applyProtection="0"/>
    <xf numFmtId="0" fontId="41" fillId="0" borderId="0"/>
    <xf numFmtId="190" fontId="177" fillId="0" borderId="24" applyFill="0" applyProtection="0"/>
    <xf numFmtId="0" fontId="22" fillId="0" borderId="0"/>
    <xf numFmtId="38" fontId="189" fillId="0" borderId="0"/>
    <xf numFmtId="193" fontId="177" fillId="0" borderId="0"/>
    <xf numFmtId="166" fontId="22" fillId="0" borderId="0" applyFont="0" applyFill="0" applyBorder="0" applyAlignment="0" applyProtection="0"/>
    <xf numFmtId="0" fontId="212" fillId="0" borderId="0" applyBorder="0">
      <alignment horizontal="centerContinuous"/>
    </xf>
    <xf numFmtId="185" fontId="22" fillId="0" borderId="0" applyFill="0" applyBorder="0" applyAlignment="0"/>
    <xf numFmtId="166" fontId="22" fillId="0" borderId="0" applyFont="0" applyFill="0" applyBorder="0" applyAlignment="0" applyProtection="0"/>
    <xf numFmtId="215" fontId="174" fillId="0" borderId="0">
      <alignment horizontal="right"/>
    </xf>
    <xf numFmtId="0" fontId="236" fillId="54" borderId="0" applyNumberFormat="0" applyBorder="0" applyAlignment="0" applyProtection="0"/>
    <xf numFmtId="4" fontId="129" fillId="0" borderId="0" applyFont="0" applyFill="0" applyBorder="0" applyAlignment="0" applyProtection="0"/>
    <xf numFmtId="218" fontId="187" fillId="0" borderId="0" applyFont="0" applyFill="0" applyBorder="0" applyAlignment="0" applyProtection="0"/>
    <xf numFmtId="183" fontId="171" fillId="0" borderId="0" applyFill="0" applyBorder="0" applyAlignment="0"/>
    <xf numFmtId="38" fontId="188" fillId="0" borderId="0"/>
    <xf numFmtId="0" fontId="105" fillId="0" borderId="0"/>
    <xf numFmtId="217" fontId="187" fillId="0" borderId="0" applyFont="0" applyFill="0" applyBorder="0" applyAlignment="0" applyProtection="0"/>
    <xf numFmtId="0" fontId="174" fillId="0" borderId="0"/>
    <xf numFmtId="188" fontId="22" fillId="0" borderId="0" applyFill="0" applyBorder="0" applyAlignment="0"/>
    <xf numFmtId="0" fontId="22" fillId="0" borderId="0" applyFill="0" applyBorder="0" applyAlignment="0"/>
    <xf numFmtId="166" fontId="42" fillId="0" borderId="0" applyFont="0" applyFill="0" applyBorder="0" applyAlignment="0" applyProtection="0"/>
    <xf numFmtId="0" fontId="21" fillId="46" borderId="0" applyNumberFormat="0" applyBorder="0" applyAlignment="0" applyProtection="0"/>
    <xf numFmtId="0" fontId="41" fillId="0" borderId="0" applyNumberFormat="0" applyFill="0" applyBorder="0" applyAlignment="0" applyProtection="0"/>
    <xf numFmtId="0" fontId="129" fillId="0" borderId="0" applyNumberFormat="0" applyFont="0" applyFill="0" applyBorder="0" applyAlignment="0" applyProtection="0">
      <alignment horizontal="left"/>
    </xf>
    <xf numFmtId="0" fontId="234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41" fillId="0" borderId="0"/>
    <xf numFmtId="0" fontId="41" fillId="0" borderId="0"/>
    <xf numFmtId="42" fontId="4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41" fillId="0" borderId="0"/>
    <xf numFmtId="0" fontId="209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74" fillId="0" borderId="0"/>
    <xf numFmtId="9" fontId="42" fillId="0" borderId="0" applyFont="0" applyFill="0" applyBorder="0" applyAlignment="0" applyProtection="0"/>
    <xf numFmtId="9" fontId="129" fillId="0" borderId="33" applyNumberFormat="0" applyBorder="0"/>
    <xf numFmtId="166" fontId="41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164" fontId="102" fillId="0" borderId="0" applyFont="0" applyFill="0" applyBorder="0" applyAlignment="0" applyProtection="0"/>
    <xf numFmtId="0" fontId="42" fillId="0" borderId="0"/>
    <xf numFmtId="0" fontId="3" fillId="0" borderId="0"/>
    <xf numFmtId="195" fontId="41" fillId="0" borderId="0" applyFont="0" applyFill="0" applyBorder="0" applyAlignment="0" applyProtection="0"/>
    <xf numFmtId="183" fontId="171" fillId="0" borderId="0" applyFill="0" applyBorder="0" applyAlignment="0"/>
    <xf numFmtId="0" fontId="206" fillId="0" borderId="0"/>
    <xf numFmtId="182" fontId="22" fillId="0" borderId="0" applyFill="0" applyBorder="0" applyAlignment="0"/>
    <xf numFmtId="0" fontId="231" fillId="0" borderId="20" applyNumberFormat="0" applyFill="0" applyAlignment="0" applyProtection="0"/>
    <xf numFmtId="0" fontId="43" fillId="0" borderId="0"/>
    <xf numFmtId="0" fontId="42" fillId="39" borderId="0">
      <alignment horizontal="left" wrapText="1" indent="2"/>
    </xf>
    <xf numFmtId="183" fontId="171" fillId="0" borderId="0" applyFont="0" applyFill="0" applyBorder="0" applyAlignment="0" applyProtection="0"/>
    <xf numFmtId="0" fontId="42" fillId="0" borderId="0"/>
    <xf numFmtId="164" fontId="10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48" borderId="0" applyNumberFormat="0" applyBorder="0" applyAlignment="0" applyProtection="0"/>
    <xf numFmtId="9" fontId="22" fillId="0" borderId="0" applyFont="0" applyFill="0" applyBorder="0" applyAlignment="0" applyProtection="0"/>
    <xf numFmtId="0" fontId="236" fillId="49" borderId="0" applyNumberFormat="0" applyBorder="0" applyAlignment="0" applyProtection="0"/>
    <xf numFmtId="192" fontId="177" fillId="0" borderId="24" applyFill="0" applyProtection="0"/>
    <xf numFmtId="0" fontId="242" fillId="0" borderId="0"/>
    <xf numFmtId="0" fontId="175" fillId="0" borderId="0">
      <alignment horizontal="center" vertical="top"/>
    </xf>
    <xf numFmtId="0" fontId="174" fillId="0" borderId="0"/>
    <xf numFmtId="0" fontId="133" fillId="38" borderId="0" applyNumberFormat="0" applyFont="0" applyFill="0" applyBorder="0" applyProtection="0">
      <alignment horizontal="left"/>
    </xf>
    <xf numFmtId="213" fontId="207" fillId="0" borderId="0"/>
    <xf numFmtId="166" fontId="22" fillId="0" borderId="0" applyFont="0" applyFill="0" applyBorder="0" applyAlignment="0" applyProtection="0"/>
    <xf numFmtId="2" fontId="208" fillId="0" borderId="0" applyFont="0" applyFill="0" applyBorder="0" applyAlignment="0" applyProtection="0"/>
    <xf numFmtId="5" fontId="192" fillId="0" borderId="24" applyAlignment="0" applyProtection="0"/>
    <xf numFmtId="10" fontId="41" fillId="0" borderId="0" applyFon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70" fontId="170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82" fillId="0" borderId="30">
      <alignment horizontal="center"/>
    </xf>
    <xf numFmtId="183" fontId="171" fillId="0" borderId="0" applyFill="0" applyBorder="0" applyAlignment="0"/>
    <xf numFmtId="0" fontId="174" fillId="0" borderId="0"/>
    <xf numFmtId="0" fontId="21" fillId="47" borderId="0" applyNumberFormat="0" applyBorder="0" applyAlignment="0" applyProtection="0"/>
    <xf numFmtId="213" fontId="207" fillId="0" borderId="0"/>
    <xf numFmtId="186" fontId="22" fillId="0" borderId="0" applyFill="0" applyBorder="0" applyAlignment="0"/>
    <xf numFmtId="0" fontId="42" fillId="0" borderId="0"/>
    <xf numFmtId="182" fontId="22" fillId="0" borderId="0" applyFill="0" applyBorder="0" applyAlignment="0"/>
    <xf numFmtId="0" fontId="21" fillId="43" borderId="0" applyNumberFormat="0" applyBorder="0" applyAlignment="0" applyProtection="0"/>
    <xf numFmtId="193" fontId="177" fillId="0" borderId="0"/>
    <xf numFmtId="186" fontId="22" fillId="0" borderId="28">
      <alignment vertical="center"/>
    </xf>
    <xf numFmtId="0" fontId="41" fillId="0" borderId="0"/>
    <xf numFmtId="187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182" fontId="22" fillId="0" borderId="0" applyFill="0" applyBorder="0" applyAlignment="0"/>
    <xf numFmtId="0" fontId="21" fillId="41" borderId="0" applyNumberFormat="0" applyBorder="0" applyAlignment="0" applyProtection="0"/>
    <xf numFmtId="0" fontId="205" fillId="0" borderId="0"/>
    <xf numFmtId="0" fontId="22" fillId="0" borderId="0"/>
    <xf numFmtId="182" fontId="22" fillId="0" borderId="0" applyFill="0" applyBorder="0" applyAlignment="0"/>
    <xf numFmtId="0" fontId="182" fillId="0" borderId="30">
      <alignment horizontal="center"/>
    </xf>
    <xf numFmtId="9" fontId="22" fillId="0" borderId="0" applyFont="0" applyFill="0" applyBorder="0" applyAlignment="0" applyProtection="0"/>
    <xf numFmtId="0" fontId="41" fillId="0" borderId="0"/>
    <xf numFmtId="190" fontId="177" fillId="0" borderId="26" applyFill="0" applyProtection="0"/>
    <xf numFmtId="166" fontId="22" fillId="0" borderId="0" applyFont="0" applyFill="0" applyBorder="0" applyAlignment="0" applyProtection="0"/>
    <xf numFmtId="0" fontId="179" fillId="0" borderId="0" applyNumberFormat="0" applyAlignment="0">
      <alignment horizontal="left"/>
    </xf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41" fillId="0" borderId="0"/>
    <xf numFmtId="0" fontId="21" fillId="47" borderId="0" applyNumberFormat="0" applyBorder="0" applyAlignment="0" applyProtection="0"/>
    <xf numFmtId="40" fontId="184" fillId="0" borderId="0" applyBorder="0">
      <alignment horizontal="right"/>
    </xf>
    <xf numFmtId="182" fontId="22" fillId="0" borderId="0" applyFill="0" applyBorder="0" applyAlignment="0"/>
    <xf numFmtId="49" fontId="49" fillId="0" borderId="0" applyFill="0" applyBorder="0" applyAlignment="0"/>
    <xf numFmtId="0" fontId="22" fillId="0" borderId="0"/>
    <xf numFmtId="15" fontId="129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186" fillId="0" borderId="0"/>
    <xf numFmtId="0" fontId="41" fillId="0" borderId="0"/>
    <xf numFmtId="15" fontId="187" fillId="0" borderId="0" applyFont="0" applyFill="0" applyBorder="0" applyAlignment="0" applyProtection="0"/>
    <xf numFmtId="0" fontId="42" fillId="0" borderId="0"/>
    <xf numFmtId="0" fontId="41" fillId="0" borderId="0"/>
    <xf numFmtId="14" fontId="133" fillId="67" borderId="30">
      <alignment horizontal="center" vertical="center" wrapText="1"/>
    </xf>
    <xf numFmtId="213" fontId="207" fillId="0" borderId="0"/>
    <xf numFmtId="166" fontId="22" fillId="0" borderId="0" applyFont="0" applyFill="0" applyBorder="0" applyAlignment="0" applyProtection="0"/>
    <xf numFmtId="172" fontId="46" fillId="0" borderId="0"/>
    <xf numFmtId="3" fontId="129" fillId="0" borderId="0" applyFont="0" applyFill="0" applyBorder="0" applyAlignment="0" applyProtection="0"/>
    <xf numFmtId="0" fontId="173" fillId="66" borderId="0"/>
    <xf numFmtId="0" fontId="41" fillId="0" borderId="0"/>
    <xf numFmtId="0" fontId="187" fillId="0" borderId="0" applyFont="0" applyFill="0" applyBorder="0" applyProtection="0">
      <alignment horizontal="left"/>
    </xf>
    <xf numFmtId="3" fontId="129" fillId="0" borderId="0" applyFont="0" applyFill="0" applyBorder="0" applyAlignment="0" applyProtection="0"/>
    <xf numFmtId="0" fontId="187" fillId="68" borderId="0" applyNumberFormat="0" applyFont="0" applyBorder="0" applyAlignment="0" applyProtection="0"/>
    <xf numFmtId="0" fontId="129" fillId="68" borderId="0" applyNumberFormat="0" applyFont="0" applyBorder="0" applyAlignment="0" applyProtection="0"/>
    <xf numFmtId="37" fontId="199" fillId="0" borderId="0"/>
    <xf numFmtId="1" fontId="41" fillId="0" borderId="10" applyNumberFormat="0" applyFill="0" applyAlignment="0" applyProtection="0">
      <alignment horizontal="center" vertical="center"/>
    </xf>
    <xf numFmtId="0" fontId="105" fillId="0" borderId="0"/>
    <xf numFmtId="183" fontId="193" fillId="0" borderId="0" applyNumberFormat="0" applyFont="0" applyBorder="0">
      <alignment horizontal="left"/>
    </xf>
    <xf numFmtId="0" fontId="194" fillId="0" borderId="0"/>
    <xf numFmtId="0" fontId="194" fillId="0" borderId="0"/>
    <xf numFmtId="0" fontId="194" fillId="0" borderId="0"/>
    <xf numFmtId="0" fontId="19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1" fillId="0" borderId="0">
      <alignment vertical="top"/>
    </xf>
    <xf numFmtId="0" fontId="22" fillId="0" borderId="0" applyNumberFormat="0" applyBorder="0">
      <alignment vertical="center"/>
    </xf>
    <xf numFmtId="0" fontId="196" fillId="39" borderId="0">
      <alignment wrapText="1"/>
    </xf>
    <xf numFmtId="37" fontId="176" fillId="71" borderId="25" applyFont="0" applyAlignment="0">
      <alignment horizontal="right"/>
    </xf>
    <xf numFmtId="40" fontId="184" fillId="0" borderId="0" applyBorder="0">
      <alignment horizontal="right"/>
    </xf>
    <xf numFmtId="0" fontId="41" fillId="0" borderId="10" applyNumberFormat="0" applyFont="0" applyFill="0" applyAlignment="0" applyProtection="0"/>
    <xf numFmtId="9" fontId="22" fillId="0" borderId="0" applyFont="0" applyFill="0" applyBorder="0" applyAlignment="0" applyProtection="0"/>
    <xf numFmtId="0" fontId="237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0" fontId="235" fillId="0" borderId="23" applyNumberFormat="0" applyFill="0" applyAlignment="0" applyProtection="0"/>
    <xf numFmtId="0" fontId="209" fillId="0" borderId="0" applyFont="0" applyFill="0" applyBorder="0" applyAlignment="0" applyProtection="0"/>
    <xf numFmtId="0" fontId="209" fillId="0" borderId="0" applyFont="0" applyFill="0" applyBorder="0" applyAlignment="0" applyProtection="0"/>
    <xf numFmtId="0" fontId="233" fillId="0" borderId="0" applyNumberFormat="0" applyFill="0" applyBorder="0" applyAlignment="0" applyProtection="0"/>
    <xf numFmtId="9" fontId="215" fillId="0" borderId="0" applyFill="0" applyBorder="0" applyAlignment="0" applyProtection="0"/>
    <xf numFmtId="9" fontId="195" fillId="0" borderId="0" applyFont="0" applyFill="0" applyBorder="0" applyAlignment="0" applyProtection="0"/>
    <xf numFmtId="198" fontId="197" fillId="0" borderId="0" applyFont="0" applyFill="0" applyBorder="0" applyAlignment="0" applyProtection="0"/>
    <xf numFmtId="200" fontId="197" fillId="0" borderId="0" applyFont="0" applyFill="0" applyBorder="0" applyAlignment="0" applyProtection="0"/>
    <xf numFmtId="171" fontId="170" fillId="0" borderId="0" applyFont="0" applyFill="0" applyBorder="0" applyAlignment="0" applyProtection="0"/>
    <xf numFmtId="197" fontId="197" fillId="0" borderId="0" applyFont="0" applyFill="0" applyBorder="0" applyAlignment="0" applyProtection="0"/>
    <xf numFmtId="199" fontId="197" fillId="0" borderId="0" applyFont="0" applyFill="0" applyBorder="0" applyAlignment="0" applyProtection="0"/>
    <xf numFmtId="0" fontId="195" fillId="0" borderId="0"/>
    <xf numFmtId="0" fontId="22" fillId="0" borderId="0"/>
    <xf numFmtId="196" fontId="216" fillId="0" borderId="0" applyFont="0" applyFill="0" applyBorder="0" applyAlignment="0" applyProtection="0"/>
    <xf numFmtId="0" fontId="217" fillId="0" borderId="0" applyNumberFormat="0" applyFill="0" applyBorder="0" applyAlignment="0" applyProtection="0">
      <alignment vertical="top"/>
      <protection locked="0"/>
    </xf>
    <xf numFmtId="0" fontId="216" fillId="0" borderId="0"/>
    <xf numFmtId="196" fontId="218" fillId="0" borderId="0" applyFont="0" applyFill="0" applyBorder="0" applyAlignment="0" applyProtection="0"/>
    <xf numFmtId="38" fontId="219" fillId="0" borderId="0" applyFont="0" applyFill="0" applyBorder="0" applyAlignment="0" applyProtection="0"/>
    <xf numFmtId="0" fontId="220" fillId="0" borderId="0" applyNumberFormat="0" applyFill="0" applyBorder="0" applyAlignment="0" applyProtection="0">
      <alignment vertical="top"/>
      <protection locked="0"/>
    </xf>
    <xf numFmtId="212" fontId="221" fillId="0" borderId="0" applyFont="0" applyFill="0" applyBorder="0" applyAlignment="0" applyProtection="0"/>
    <xf numFmtId="211" fontId="221" fillId="0" borderId="0" applyFont="0" applyFill="0" applyBorder="0" applyAlignment="0" applyProtection="0"/>
    <xf numFmtId="0" fontId="43" fillId="0" borderId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4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166" fontId="1" fillId="0" borderId="0" applyFont="0" applyFill="0" applyBorder="0" applyAlignment="0" applyProtection="0"/>
    <xf numFmtId="0" fontId="3" fillId="0" borderId="0"/>
    <xf numFmtId="0" fontId="41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182" fontId="22" fillId="0" borderId="0" applyFill="0" applyBorder="0" applyAlignment="0"/>
    <xf numFmtId="0" fontId="22" fillId="0" borderId="0" applyFill="0" applyBorder="0" applyAlignment="0"/>
    <xf numFmtId="185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182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6" fontId="22" fillId="0" borderId="28">
      <alignment vertical="center"/>
    </xf>
    <xf numFmtId="182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182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5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2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0" fontId="22" fillId="0" borderId="0" applyNumberFormat="0" applyBorder="0">
      <alignment vertical="center"/>
    </xf>
    <xf numFmtId="188" fontId="22" fillId="0" borderId="0" applyFill="0" applyBorder="0" applyAlignment="0"/>
    <xf numFmtId="185" fontId="22" fillId="0" borderId="0" applyFill="0" applyBorder="0" applyAlignment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0" fontId="1" fillId="0" borderId="0"/>
    <xf numFmtId="166" fontId="1" fillId="0" borderId="0" applyFont="0" applyFill="0" applyBorder="0" applyAlignment="0" applyProtection="0"/>
    <xf numFmtId="0" fontId="199" fillId="0" borderId="0"/>
    <xf numFmtId="166" fontId="199" fillId="0" borderId="0" applyFont="0" applyFill="0" applyBorder="0" applyAlignment="0" applyProtection="0"/>
    <xf numFmtId="0" fontId="46" fillId="0" borderId="0"/>
    <xf numFmtId="0" fontId="124" fillId="41" borderId="0" applyNumberFormat="0" applyBorder="0" applyAlignment="0" applyProtection="0"/>
    <xf numFmtId="0" fontId="261" fillId="73" borderId="0" applyNumberFormat="0" applyBorder="0" applyAlignment="0" applyProtection="0"/>
    <xf numFmtId="0" fontId="124" fillId="42" borderId="0" applyNumberFormat="0" applyBorder="0" applyAlignment="0" applyProtection="0"/>
    <xf numFmtId="0" fontId="261" fillId="46" borderId="0" applyNumberFormat="0" applyBorder="0" applyAlignment="0" applyProtection="0"/>
    <xf numFmtId="0" fontId="124" fillId="43" borderId="0" applyNumberFormat="0" applyBorder="0" applyAlignment="0" applyProtection="0"/>
    <xf numFmtId="0" fontId="261" fillId="61" borderId="0" applyNumberFormat="0" applyBorder="0" applyAlignment="0" applyProtection="0"/>
    <xf numFmtId="0" fontId="124" fillId="44" borderId="0" applyNumberFormat="0" applyBorder="0" applyAlignment="0" applyProtection="0"/>
    <xf numFmtId="0" fontId="261" fillId="73" borderId="0" applyNumberFormat="0" applyBorder="0" applyAlignment="0" applyProtection="0"/>
    <xf numFmtId="0" fontId="124" fillId="45" borderId="0" applyNumberFormat="0" applyBorder="0" applyAlignment="0" applyProtection="0"/>
    <xf numFmtId="0" fontId="261" fillId="45" borderId="0" applyNumberFormat="0" applyBorder="0" applyAlignment="0" applyProtection="0"/>
    <xf numFmtId="0" fontId="124" fillId="46" borderId="0" applyNumberFormat="0" applyBorder="0" applyAlignment="0" applyProtection="0"/>
    <xf numFmtId="0" fontId="261" fillId="62" borderId="0" applyNumberFormat="0" applyBorder="0" applyAlignment="0" applyProtection="0"/>
    <xf numFmtId="0" fontId="242" fillId="41" borderId="0" applyNumberFormat="0" applyBorder="0" applyAlignment="0" applyProtection="0"/>
    <xf numFmtId="0" fontId="242" fillId="42" borderId="0" applyNumberFormat="0" applyBorder="0" applyAlignment="0" applyProtection="0"/>
    <xf numFmtId="0" fontId="242" fillId="43" borderId="0" applyNumberFormat="0" applyBorder="0" applyAlignment="0" applyProtection="0"/>
    <xf numFmtId="0" fontId="242" fillId="44" borderId="0" applyNumberFormat="0" applyBorder="0" applyAlignment="0" applyProtection="0"/>
    <xf numFmtId="0" fontId="242" fillId="45" borderId="0" applyNumberFormat="0" applyBorder="0" applyAlignment="0" applyProtection="0"/>
    <xf numFmtId="0" fontId="242" fillId="46" borderId="0" applyNumberFormat="0" applyBorder="0" applyAlignment="0" applyProtection="0"/>
    <xf numFmtId="0" fontId="124" fillId="47" borderId="0" applyNumberFormat="0" applyBorder="0" applyAlignment="0" applyProtection="0"/>
    <xf numFmtId="0" fontId="261" fillId="59" borderId="0" applyNumberFormat="0" applyBorder="0" applyAlignment="0" applyProtection="0"/>
    <xf numFmtId="0" fontId="124" fillId="48" borderId="0" applyNumberFormat="0" applyBorder="0" applyAlignment="0" applyProtection="0"/>
    <xf numFmtId="0" fontId="261" fillId="48" borderId="0" applyNumberFormat="0" applyBorder="0" applyAlignment="0" applyProtection="0"/>
    <xf numFmtId="0" fontId="124" fillId="49" borderId="0" applyNumberFormat="0" applyBorder="0" applyAlignment="0" applyProtection="0"/>
    <xf numFmtId="0" fontId="261" fillId="61" borderId="0" applyNumberFormat="0" applyBorder="0" applyAlignment="0" applyProtection="0"/>
    <xf numFmtId="0" fontId="124" fillId="44" borderId="0" applyNumberFormat="0" applyBorder="0" applyAlignment="0" applyProtection="0"/>
    <xf numFmtId="0" fontId="261" fillId="59" borderId="0" applyNumberFormat="0" applyBorder="0" applyAlignment="0" applyProtection="0"/>
    <xf numFmtId="0" fontId="124" fillId="47" borderId="0" applyNumberFormat="0" applyBorder="0" applyAlignment="0" applyProtection="0"/>
    <xf numFmtId="0" fontId="261" fillId="47" borderId="0" applyNumberFormat="0" applyBorder="0" applyAlignment="0" applyProtection="0"/>
    <xf numFmtId="0" fontId="124" fillId="50" borderId="0" applyNumberFormat="0" applyBorder="0" applyAlignment="0" applyProtection="0"/>
    <xf numFmtId="0" fontId="261" fillId="46" borderId="0" applyNumberFormat="0" applyBorder="0" applyAlignment="0" applyProtection="0"/>
    <xf numFmtId="0" fontId="242" fillId="47" borderId="0" applyNumberFormat="0" applyBorder="0" applyAlignment="0" applyProtection="0"/>
    <xf numFmtId="0" fontId="242" fillId="48" borderId="0" applyNumberFormat="0" applyBorder="0" applyAlignment="0" applyProtection="0"/>
    <xf numFmtId="0" fontId="242" fillId="49" borderId="0" applyNumberFormat="0" applyBorder="0" applyAlignment="0" applyProtection="0"/>
    <xf numFmtId="0" fontId="242" fillId="44" borderId="0" applyNumberFormat="0" applyBorder="0" applyAlignment="0" applyProtection="0"/>
    <xf numFmtId="0" fontId="242" fillId="47" borderId="0" applyNumberFormat="0" applyBorder="0" applyAlignment="0" applyProtection="0"/>
    <xf numFmtId="0" fontId="242" fillId="50" borderId="0" applyNumberFormat="0" applyBorder="0" applyAlignment="0" applyProtection="0"/>
    <xf numFmtId="0" fontId="125" fillId="51" borderId="0" applyNumberFormat="0" applyBorder="0" applyAlignment="0" applyProtection="0"/>
    <xf numFmtId="0" fontId="262" fillId="53" borderId="0" applyNumberFormat="0" applyBorder="0" applyAlignment="0" applyProtection="0"/>
    <xf numFmtId="0" fontId="125" fillId="48" borderId="0" applyNumberFormat="0" applyBorder="0" applyAlignment="0" applyProtection="0"/>
    <xf numFmtId="0" fontId="262" fillId="48" borderId="0" applyNumberFormat="0" applyBorder="0" applyAlignment="0" applyProtection="0"/>
    <xf numFmtId="0" fontId="125" fillId="49" borderId="0" applyNumberFormat="0" applyBorder="0" applyAlignment="0" applyProtection="0"/>
    <xf numFmtId="0" fontId="262" fillId="61" borderId="0" applyNumberFormat="0" applyBorder="0" applyAlignment="0" applyProtection="0"/>
    <xf numFmtId="0" fontId="125" fillId="52" borderId="0" applyNumberFormat="0" applyBorder="0" applyAlignment="0" applyProtection="0"/>
    <xf numFmtId="0" fontId="262" fillId="59" borderId="0" applyNumberFormat="0" applyBorder="0" applyAlignment="0" applyProtection="0"/>
    <xf numFmtId="0" fontId="125" fillId="53" borderId="0" applyNumberFormat="0" applyBorder="0" applyAlignment="0" applyProtection="0"/>
    <xf numFmtId="0" fontId="262" fillId="53" borderId="0" applyNumberFormat="0" applyBorder="0" applyAlignment="0" applyProtection="0"/>
    <xf numFmtId="0" fontId="125" fillId="54" borderId="0" applyNumberFormat="0" applyBorder="0" applyAlignment="0" applyProtection="0"/>
    <xf numFmtId="0" fontId="262" fillId="46" borderId="0" applyNumberFormat="0" applyBorder="0" applyAlignment="0" applyProtection="0"/>
    <xf numFmtId="0" fontId="243" fillId="51" borderId="0" applyNumberFormat="0" applyBorder="0" applyAlignment="0" applyProtection="0"/>
    <xf numFmtId="0" fontId="243" fillId="48" borderId="0" applyNumberFormat="0" applyBorder="0" applyAlignment="0" applyProtection="0"/>
    <xf numFmtId="0" fontId="243" fillId="49" borderId="0" applyNumberFormat="0" applyBorder="0" applyAlignment="0" applyProtection="0"/>
    <xf numFmtId="0" fontId="243" fillId="52" borderId="0" applyNumberFormat="0" applyBorder="0" applyAlignment="0" applyProtection="0"/>
    <xf numFmtId="0" fontId="243" fillId="53" borderId="0" applyNumberFormat="0" applyBorder="0" applyAlignment="0" applyProtection="0"/>
    <xf numFmtId="0" fontId="243" fillId="54" borderId="0" applyNumberFormat="0" applyBorder="0" applyAlignment="0" applyProtection="0"/>
    <xf numFmtId="0" fontId="125" fillId="55" borderId="0" applyNumberFormat="0" applyBorder="0" applyAlignment="0" applyProtection="0"/>
    <xf numFmtId="0" fontId="262" fillId="53" borderId="0" applyNumberFormat="0" applyBorder="0" applyAlignment="0" applyProtection="0"/>
    <xf numFmtId="0" fontId="125" fillId="56" borderId="0" applyNumberFormat="0" applyBorder="0" applyAlignment="0" applyProtection="0"/>
    <xf numFmtId="0" fontId="262" fillId="56" borderId="0" applyNumberFormat="0" applyBorder="0" applyAlignment="0" applyProtection="0"/>
    <xf numFmtId="0" fontId="125" fillId="57" borderId="0" applyNumberFormat="0" applyBorder="0" applyAlignment="0" applyProtection="0"/>
    <xf numFmtId="0" fontId="262" fillId="57" borderId="0" applyNumberFormat="0" applyBorder="0" applyAlignment="0" applyProtection="0"/>
    <xf numFmtId="0" fontId="125" fillId="52" borderId="0" applyNumberFormat="0" applyBorder="0" applyAlignment="0" applyProtection="0"/>
    <xf numFmtId="0" fontId="262" fillId="74" borderId="0" applyNumberFormat="0" applyBorder="0" applyAlignment="0" applyProtection="0"/>
    <xf numFmtId="0" fontId="125" fillId="53" borderId="0" applyNumberFormat="0" applyBorder="0" applyAlignment="0" applyProtection="0"/>
    <xf numFmtId="0" fontId="262" fillId="53" borderId="0" applyNumberFormat="0" applyBorder="0" applyAlignment="0" applyProtection="0"/>
    <xf numFmtId="0" fontId="125" fillId="58" borderId="0" applyNumberFormat="0" applyBorder="0" applyAlignment="0" applyProtection="0"/>
    <xf numFmtId="0" fontId="262" fillId="58" borderId="0" applyNumberFormat="0" applyBorder="0" applyAlignment="0" applyProtection="0"/>
    <xf numFmtId="0" fontId="138" fillId="42" borderId="0" applyNumberFormat="0" applyBorder="0" applyAlignment="0" applyProtection="0"/>
    <xf numFmtId="0" fontId="263" fillId="42" borderId="0" applyNumberFormat="0" applyBorder="0" applyAlignment="0" applyProtection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5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41" fillId="0" borderId="0"/>
    <xf numFmtId="0" fontId="22" fillId="0" borderId="0" applyFill="0" applyBorder="0" applyAlignment="0"/>
    <xf numFmtId="0" fontId="22" fillId="0" borderId="0" applyFill="0" applyBorder="0" applyAlignment="0"/>
    <xf numFmtId="186" fontId="22" fillId="0" borderId="0" applyFill="0" applyBorder="0" applyAlignment="0"/>
    <xf numFmtId="0" fontId="140" fillId="59" borderId="15" applyNumberFormat="0" applyAlignment="0" applyProtection="0"/>
    <xf numFmtId="0" fontId="264" fillId="73" borderId="15" applyNumberFormat="0" applyAlignment="0" applyProtection="0"/>
    <xf numFmtId="0" fontId="136" fillId="60" borderId="16" applyNumberFormat="0" applyAlignment="0" applyProtection="0"/>
    <xf numFmtId="0" fontId="265" fillId="60" borderId="16" applyNumberFormat="0" applyAlignment="0" applyProtection="0"/>
    <xf numFmtId="166" fontId="50" fillId="0" borderId="0" applyFont="0" applyFill="0" applyBorder="0" applyAlignment="0" applyProtection="0"/>
    <xf numFmtId="183" fontId="239" fillId="0" borderId="0"/>
    <xf numFmtId="183" fontId="239" fillId="0" borderId="0"/>
    <xf numFmtId="183" fontId="239" fillId="0" borderId="0"/>
    <xf numFmtId="183" fontId="239" fillId="0" borderId="0"/>
    <xf numFmtId="183" fontId="239" fillId="0" borderId="0"/>
    <xf numFmtId="183" fontId="239" fillId="0" borderId="0"/>
    <xf numFmtId="183" fontId="239" fillId="0" borderId="0"/>
    <xf numFmtId="183" fontId="23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219" fontId="22" fillId="0" borderId="0" applyFill="0" applyBorder="0" applyAlignment="0" applyProtection="0"/>
    <xf numFmtId="219" fontId="22" fillId="0" borderId="0" applyFill="0" applyBorder="0" applyAlignment="0" applyProtection="0"/>
    <xf numFmtId="223" fontId="22" fillId="0" borderId="0" applyFill="0" applyBorder="0" applyAlignment="0" applyProtection="0"/>
    <xf numFmtId="223" fontId="22" fillId="0" borderId="0" applyFill="0" applyBorder="0" applyAlignment="0" applyProtection="0"/>
    <xf numFmtId="220" fontId="41" fillId="0" borderId="0" applyFill="0" applyBorder="0" applyAlignment="0" applyProtection="0"/>
    <xf numFmtId="166" fontId="22" fillId="0" borderId="0" applyFont="0" applyFill="0" applyBorder="0" applyAlignment="0" applyProtection="0"/>
    <xf numFmtId="219" fontId="22" fillId="0" borderId="0" applyFill="0" applyBorder="0" applyAlignment="0" applyProtection="0"/>
    <xf numFmtId="219" fontId="22" fillId="0" borderId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3" fillId="0" borderId="0" applyFont="0" applyFill="0" applyBorder="0" applyAlignment="0" applyProtection="0"/>
    <xf numFmtId="219" fontId="22" fillId="0" borderId="0" applyFill="0" applyBorder="0" applyAlignment="0" applyProtection="0"/>
    <xf numFmtId="0" fontId="41" fillId="0" borderId="0"/>
    <xf numFmtId="210" fontId="41" fillId="0" borderId="0" applyFont="0" applyFill="0" applyBorder="0" applyProtection="0">
      <alignment horizontal="right"/>
    </xf>
    <xf numFmtId="209" fontId="41" fillId="0" borderId="0" applyFont="0" applyFill="0" applyBorder="0" applyAlignment="0" applyProtection="0"/>
    <xf numFmtId="0" fontId="41" fillId="0" borderId="0"/>
    <xf numFmtId="0" fontId="22" fillId="0" borderId="28">
      <alignment vertical="center"/>
    </xf>
    <xf numFmtId="0" fontId="22" fillId="0" borderId="28">
      <alignment vertical="center"/>
    </xf>
    <xf numFmtId="186" fontId="22" fillId="0" borderId="28">
      <alignment vertical="center"/>
    </xf>
    <xf numFmtId="0" fontId="41" fillId="0" borderId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41" fillId="0" borderId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6" fontId="22" fillId="0" borderId="0" applyFill="0" applyBorder="0" applyAlignment="0"/>
    <xf numFmtId="0" fontId="41" fillId="0" borderId="0"/>
    <xf numFmtId="222" fontId="22" fillId="0" borderId="0" applyFill="0" applyBorder="0" applyAlignment="0" applyProtection="0"/>
    <xf numFmtId="222" fontId="22" fillId="0" borderId="0" applyFill="0" applyBorder="0" applyAlignment="0" applyProtection="0"/>
    <xf numFmtId="222" fontId="22" fillId="0" borderId="0" applyFill="0" applyBorder="0" applyAlignment="0" applyProtection="0"/>
    <xf numFmtId="221" fontId="240" fillId="0" borderId="0" applyFill="0" applyBorder="0" applyAlignment="0" applyProtection="0"/>
    <xf numFmtId="0" fontId="142" fillId="0" borderId="0" applyNumberFormat="0" applyFill="0" applyBorder="0" applyAlignment="0" applyProtection="0"/>
    <xf numFmtId="0" fontId="266" fillId="0" borderId="0" applyNumberFormat="0" applyFill="0" applyBorder="0" applyAlignment="0" applyProtection="0"/>
    <xf numFmtId="0" fontId="144" fillId="43" borderId="0" applyNumberFormat="0" applyBorder="0" applyAlignment="0" applyProtection="0"/>
    <xf numFmtId="0" fontId="267" fillId="43" borderId="0" applyNumberFormat="0" applyBorder="0" applyAlignment="0" applyProtection="0"/>
    <xf numFmtId="0" fontId="41" fillId="0" borderId="0"/>
    <xf numFmtId="0" fontId="41" fillId="0" borderId="0"/>
    <xf numFmtId="0" fontId="148" fillId="0" borderId="17" applyNumberFormat="0" applyFill="0" applyAlignment="0" applyProtection="0"/>
    <xf numFmtId="0" fontId="268" fillId="0" borderId="34" applyNumberFormat="0" applyFill="0" applyAlignment="0" applyProtection="0"/>
    <xf numFmtId="0" fontId="149" fillId="0" borderId="18" applyNumberFormat="0" applyFill="0" applyAlignment="0" applyProtection="0"/>
    <xf numFmtId="0" fontId="269" fillId="0" borderId="18" applyNumberFormat="0" applyFill="0" applyAlignment="0" applyProtection="0"/>
    <xf numFmtId="0" fontId="150" fillId="0" borderId="19" applyNumberFormat="0" applyFill="0" applyAlignment="0" applyProtection="0"/>
    <xf numFmtId="0" fontId="270" fillId="0" borderId="35" applyNumberFormat="0" applyFill="0" applyAlignment="0" applyProtection="0"/>
    <xf numFmtId="0" fontId="15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145" fillId="46" borderId="15" applyNumberFormat="0" applyAlignment="0" applyProtection="0"/>
    <xf numFmtId="0" fontId="145" fillId="46" borderId="15" applyNumberFormat="0" applyAlignment="0" applyProtection="0"/>
    <xf numFmtId="0" fontId="145" fillId="46" borderId="15" applyNumberFormat="0" applyAlignment="0" applyProtection="0"/>
    <xf numFmtId="0" fontId="271" fillId="46" borderId="15" applyNumberFormat="0" applyAlignment="0" applyProtection="0"/>
    <xf numFmtId="0" fontId="271" fillId="46" borderId="15" applyNumberFormat="0" applyAlignment="0" applyProtection="0"/>
    <xf numFmtId="0" fontId="41" fillId="0" borderId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41" fillId="0" borderId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6" fontId="22" fillId="0" borderId="0" applyFill="0" applyBorder="0" applyAlignment="0"/>
    <xf numFmtId="0" fontId="41" fillId="0" borderId="0"/>
    <xf numFmtId="0" fontId="137" fillId="0" borderId="20" applyNumberFormat="0" applyFill="0" applyAlignment="0" applyProtection="0"/>
    <xf numFmtId="0" fontId="272" fillId="0" borderId="20" applyNumberFormat="0" applyFill="0" applyAlignment="0" applyProtection="0"/>
    <xf numFmtId="0" fontId="146" fillId="61" borderId="0" applyNumberFormat="0" applyBorder="0" applyAlignment="0" applyProtection="0"/>
    <xf numFmtId="0" fontId="273" fillId="61" borderId="0" applyNumberFormat="0" applyBorder="0" applyAlignment="0" applyProtection="0"/>
    <xf numFmtId="0" fontId="240" fillId="0" borderId="0"/>
    <xf numFmtId="0" fontId="41" fillId="0" borderId="0"/>
    <xf numFmtId="0" fontId="22" fillId="0" borderId="0"/>
    <xf numFmtId="0" fontId="241" fillId="0" borderId="0"/>
    <xf numFmtId="208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22" fillId="62" borderId="21" applyNumberFormat="0" applyFont="0" applyAlignment="0" applyProtection="0"/>
    <xf numFmtId="0" fontId="139" fillId="59" borderId="22" applyNumberFormat="0" applyAlignment="0" applyProtection="0"/>
    <xf numFmtId="0" fontId="274" fillId="73" borderId="22" applyNumberFormat="0" applyAlignment="0" applyProtection="0"/>
    <xf numFmtId="205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204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2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6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8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185" fontId="22" fillId="0" borderId="0" applyFill="0" applyBorder="0" applyAlignment="0"/>
    <xf numFmtId="166" fontId="41" fillId="0" borderId="0" applyFont="0" applyFill="0" applyBorder="0" applyAlignment="0" applyProtection="0"/>
    <xf numFmtId="0" fontId="41" fillId="0" borderId="0"/>
    <xf numFmtId="0" fontId="143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147" fillId="0" borderId="23" applyNumberFormat="0" applyFill="0" applyAlignment="0" applyProtection="0"/>
    <xf numFmtId="0" fontId="276" fillId="0" borderId="36" applyNumberFormat="0" applyFill="0" applyAlignment="0" applyProtection="0"/>
    <xf numFmtId="0" fontId="141" fillId="0" borderId="0" applyNumberFormat="0" applyFill="0" applyBorder="0" applyAlignment="0" applyProtection="0"/>
    <xf numFmtId="0" fontId="277" fillId="0" borderId="0" applyNumberFormat="0" applyFill="0" applyBorder="0" applyAlignment="0" applyProtection="0"/>
    <xf numFmtId="0" fontId="244" fillId="0" borderId="0" applyNumberFormat="0" applyFill="0" applyBorder="0" applyAlignment="0" applyProtection="0">
      <alignment vertical="top"/>
      <protection locked="0"/>
    </xf>
    <xf numFmtId="0" fontId="245" fillId="60" borderId="16" applyNumberFormat="0" applyAlignment="0" applyProtection="0"/>
    <xf numFmtId="0" fontId="246" fillId="0" borderId="20" applyNumberFormat="0" applyFill="0" applyAlignment="0" applyProtection="0"/>
    <xf numFmtId="0" fontId="247" fillId="42" borderId="0" applyNumberFormat="0" applyBorder="0" applyAlignment="0" applyProtection="0"/>
    <xf numFmtId="0" fontId="248" fillId="59" borderId="22" applyNumberFormat="0" applyAlignment="0" applyProtection="0"/>
    <xf numFmtId="0" fontId="249" fillId="59" borderId="15" applyNumberFormat="0" applyAlignment="0" applyProtection="0"/>
    <xf numFmtId="0" fontId="250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253" fillId="43" borderId="0" applyNumberFormat="0" applyBorder="0" applyAlignment="0" applyProtection="0"/>
    <xf numFmtId="0" fontId="254" fillId="0" borderId="0" applyNumberFormat="0" applyFill="0" applyBorder="0" applyAlignment="0" applyProtection="0">
      <alignment vertical="top"/>
      <protection locked="0"/>
    </xf>
    <xf numFmtId="0" fontId="255" fillId="46" borderId="15" applyNumberFormat="0" applyAlignment="0" applyProtection="0"/>
    <xf numFmtId="0" fontId="256" fillId="61" borderId="0" applyNumberFormat="0" applyBorder="0" applyAlignment="0" applyProtection="0"/>
    <xf numFmtId="0" fontId="257" fillId="0" borderId="23" applyNumberFormat="0" applyFill="0" applyAlignment="0" applyProtection="0"/>
    <xf numFmtId="0" fontId="243" fillId="55" borderId="0" applyNumberFormat="0" applyBorder="0" applyAlignment="0" applyProtection="0"/>
    <xf numFmtId="0" fontId="243" fillId="56" borderId="0" applyNumberFormat="0" applyBorder="0" applyAlignment="0" applyProtection="0"/>
    <xf numFmtId="0" fontId="243" fillId="57" borderId="0" applyNumberFormat="0" applyBorder="0" applyAlignment="0" applyProtection="0"/>
    <xf numFmtId="0" fontId="243" fillId="52" borderId="0" applyNumberFormat="0" applyBorder="0" applyAlignment="0" applyProtection="0"/>
    <xf numFmtId="0" fontId="243" fillId="53" borderId="0" applyNumberFormat="0" applyBorder="0" applyAlignment="0" applyProtection="0"/>
    <xf numFmtId="0" fontId="243" fillId="58" borderId="0" applyNumberFormat="0" applyBorder="0" applyAlignment="0" applyProtection="0"/>
    <xf numFmtId="0" fontId="41" fillId="62" borderId="21" applyNumberFormat="0" applyFont="0" applyAlignment="0" applyProtection="0"/>
    <xf numFmtId="0" fontId="258" fillId="0" borderId="17" applyNumberFormat="0" applyFill="0" applyAlignment="0" applyProtection="0"/>
    <xf numFmtId="0" fontId="259" fillId="0" borderId="18" applyNumberFormat="0" applyFill="0" applyAlignment="0" applyProtection="0"/>
    <xf numFmtId="0" fontId="260" fillId="0" borderId="19" applyNumberFormat="0" applyFill="0" applyAlignment="0" applyProtection="0"/>
    <xf numFmtId="0" fontId="260" fillId="0" borderId="0" applyNumberFormat="0" applyFill="0" applyBorder="0" applyAlignment="0" applyProtection="0"/>
    <xf numFmtId="0" fontId="41" fillId="0" borderId="0"/>
    <xf numFmtId="219" fontId="22" fillId="0" borderId="0" applyFill="0" applyBorder="0" applyAlignment="0" applyProtection="0"/>
    <xf numFmtId="166" fontId="41" fillId="0" borderId="0" applyFont="0" applyFill="0" applyBorder="0" applyAlignment="0" applyProtection="0"/>
    <xf numFmtId="0" fontId="41" fillId="0" borderId="0"/>
    <xf numFmtId="0" fontId="21" fillId="0" borderId="25" applyNumberFormat="0" applyFill="0" applyProtection="0"/>
    <xf numFmtId="40" fontId="49" fillId="66" borderId="0">
      <alignment horizontal="right"/>
    </xf>
    <xf numFmtId="0" fontId="278" fillId="39" borderId="0">
      <alignment horizontal="center"/>
    </xf>
    <xf numFmtId="0" fontId="279" fillId="75" borderId="11"/>
    <xf numFmtId="0" fontId="280" fillId="0" borderId="0" applyBorder="0">
      <alignment horizontal="centerContinuous"/>
    </xf>
    <xf numFmtId="0" fontId="281" fillId="0" borderId="0" applyBorder="0">
      <alignment horizontal="centerContinuous"/>
    </xf>
    <xf numFmtId="0" fontId="1" fillId="0" borderId="0"/>
    <xf numFmtId="166" fontId="1" fillId="0" borderId="0" applyFont="0" applyFill="0" applyBorder="0" applyAlignment="0" applyProtection="0"/>
    <xf numFmtId="0" fontId="41" fillId="0" borderId="0"/>
    <xf numFmtId="166" fontId="1" fillId="0" borderId="0" applyFont="0" applyFill="0" applyBorder="0" applyAlignment="0" applyProtection="0"/>
    <xf numFmtId="0" fontId="22" fillId="0" borderId="0"/>
    <xf numFmtId="0" fontId="282" fillId="0" borderId="0"/>
    <xf numFmtId="0" fontId="21" fillId="0" borderId="25" applyNumberFormat="0" applyFill="0" applyProtection="0"/>
    <xf numFmtId="0" fontId="1" fillId="0" borderId="0"/>
    <xf numFmtId="166" fontId="1" fillId="0" borderId="0" applyFont="0" applyFill="0" applyBorder="0" applyAlignment="0" applyProtection="0"/>
    <xf numFmtId="0" fontId="41" fillId="0" borderId="0"/>
    <xf numFmtId="224" fontId="41" fillId="0" borderId="0" applyFont="0" applyFill="0" applyBorder="0" applyAlignment="0" applyProtection="0"/>
    <xf numFmtId="224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219" fontId="22" fillId="0" borderId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ill="0" applyBorder="0" applyAlignment="0" applyProtection="0"/>
    <xf numFmtId="0" fontId="22" fillId="0" borderId="0"/>
    <xf numFmtId="0" fontId="21" fillId="0" borderId="25" applyNumberFormat="0" applyFill="0" applyProtection="0"/>
    <xf numFmtId="0" fontId="1" fillId="0" borderId="0"/>
    <xf numFmtId="166" fontId="1" fillId="0" borderId="0" applyFont="0" applyFill="0" applyBorder="0" applyAlignment="0" applyProtection="0"/>
    <xf numFmtId="0" fontId="21" fillId="0" borderId="25" applyNumberFormat="0" applyFill="0" applyProtection="0"/>
    <xf numFmtId="0" fontId="22" fillId="0" borderId="0"/>
    <xf numFmtId="166" fontId="22" fillId="0" borderId="0" applyFont="0" applyFill="0" applyBorder="0" applyAlignment="0" applyProtection="0"/>
    <xf numFmtId="0" fontId="22" fillId="0" borderId="0"/>
    <xf numFmtId="0" fontId="1" fillId="0" borderId="0"/>
    <xf numFmtId="166" fontId="1" fillId="0" borderId="0" applyFont="0" applyFill="0" applyBorder="0" applyAlignment="0" applyProtection="0"/>
    <xf numFmtId="219" fontId="22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50" fillId="0" borderId="0"/>
    <xf numFmtId="219" fontId="22" fillId="0" borderId="0" applyFill="0" applyBorder="0" applyAlignment="0" applyProtection="0"/>
    <xf numFmtId="219" fontId="22" fillId="0" borderId="0" applyFill="0" applyBorder="0" applyAlignment="0" applyProtection="0"/>
    <xf numFmtId="166" fontId="242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207" fontId="41" fillId="0" borderId="0" applyFont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0" fontId="41" fillId="0" borderId="0"/>
    <xf numFmtId="0" fontId="1" fillId="0" borderId="0"/>
    <xf numFmtId="166" fontId="22" fillId="0" borderId="0" applyFont="0" applyFill="0" applyBorder="0" applyAlignment="0" applyProtection="0"/>
    <xf numFmtId="219" fontId="22" fillId="0" borderId="0" applyFill="0" applyBorder="0" applyAlignment="0" applyProtection="0"/>
    <xf numFmtId="166" fontId="41" fillId="0" borderId="0" applyFont="0" applyFill="0" applyBorder="0" applyAlignment="0" applyProtection="0"/>
    <xf numFmtId="0" fontId="4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25" applyNumberFormat="0" applyFill="0" applyProtection="0"/>
    <xf numFmtId="0" fontId="1" fillId="0" borderId="0"/>
    <xf numFmtId="166" fontId="1" fillId="0" borderId="0" applyFont="0" applyFill="0" applyBorder="0" applyAlignment="0" applyProtection="0"/>
    <xf numFmtId="219" fontId="22" fillId="0" borderId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ill="0" applyBorder="0" applyAlignment="0" applyProtection="0"/>
    <xf numFmtId="0" fontId="22" fillId="0" borderId="0"/>
    <xf numFmtId="0" fontId="21" fillId="0" borderId="25" applyNumberFormat="0" applyFill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61" borderId="0" applyNumberFormat="0" applyFont="0" applyAlignment="0" applyProtection="0"/>
    <xf numFmtId="0" fontId="41" fillId="0" borderId="0"/>
    <xf numFmtId="0" fontId="50" fillId="0" borderId="0"/>
    <xf numFmtId="166" fontId="50" fillId="0" borderId="0" applyFont="0" applyFill="0" applyBorder="0" applyAlignment="0" applyProtection="0"/>
    <xf numFmtId="0" fontId="41" fillId="0" borderId="0"/>
    <xf numFmtId="0" fontId="41" fillId="0" borderId="0"/>
    <xf numFmtId="0" fontId="240" fillId="0" borderId="0"/>
    <xf numFmtId="0" fontId="4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219" fontId="22" fillId="0" borderId="0" applyFill="0" applyBorder="0" applyAlignment="0" applyProtection="0"/>
    <xf numFmtId="0" fontId="22" fillId="0" borderId="0"/>
    <xf numFmtId="0" fontId="4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3" fillId="0" borderId="0"/>
    <xf numFmtId="219" fontId="283" fillId="0" borderId="0" applyBorder="0" applyProtection="0"/>
    <xf numFmtId="166" fontId="133" fillId="0" borderId="0" applyFont="0" applyFill="0" applyBorder="0" applyAlignment="0" applyProtection="0"/>
    <xf numFmtId="0" fontId="22" fillId="0" borderId="0"/>
    <xf numFmtId="0" fontId="22" fillId="0" borderId="0"/>
    <xf numFmtId="0" fontId="284" fillId="0" borderId="0"/>
    <xf numFmtId="220" fontId="240" fillId="0" borderId="0"/>
    <xf numFmtId="219" fontId="240" fillId="0" borderId="0"/>
    <xf numFmtId="0" fontId="22" fillId="0" borderId="0"/>
    <xf numFmtId="0" fontId="124" fillId="0" borderId="0"/>
    <xf numFmtId="226" fontId="124" fillId="0" borderId="0" applyBorder="0" applyProtection="0"/>
    <xf numFmtId="166" fontId="22" fillId="0" borderId="0" applyFont="0" applyFill="0" applyBorder="0" applyAlignment="0" applyProtection="0"/>
    <xf numFmtId="219" fontId="22" fillId="0" borderId="0" applyFill="0" applyBorder="0" applyAlignment="0" applyProtection="0"/>
    <xf numFmtId="226" fontId="124" fillId="0" borderId="0" applyBorder="0" applyProtection="0"/>
    <xf numFmtId="0" fontId="124" fillId="0" borderId="0"/>
    <xf numFmtId="219" fontId="22" fillId="0" borderId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124" fillId="0" borderId="0"/>
    <xf numFmtId="219" fontId="22" fillId="0" borderId="0" applyFill="0" applyBorder="0" applyAlignment="0" applyProtection="0"/>
    <xf numFmtId="0" fontId="22" fillId="0" borderId="0"/>
    <xf numFmtId="0" fontId="285" fillId="0" borderId="0" applyNumberFormat="0" applyFill="0" applyBorder="0" applyAlignment="0" applyProtection="0">
      <alignment vertical="top"/>
      <protection locked="0"/>
    </xf>
    <xf numFmtId="0" fontId="286" fillId="0" borderId="0" applyNumberFormat="0" applyFill="0" applyBorder="0" applyAlignment="0" applyProtection="0">
      <alignment vertical="top"/>
      <protection locked="0"/>
    </xf>
    <xf numFmtId="4" fontId="287" fillId="65" borderId="37" applyNumberFormat="0" applyProtection="0">
      <alignment vertical="center"/>
    </xf>
    <xf numFmtId="4" fontId="288" fillId="65" borderId="37" applyNumberFormat="0" applyProtection="0">
      <alignment vertical="center"/>
    </xf>
    <xf numFmtId="4" fontId="289" fillId="65" borderId="37" applyNumberFormat="0" applyProtection="0">
      <alignment horizontal="left" vertical="center" indent="1"/>
    </xf>
    <xf numFmtId="4" fontId="289" fillId="80" borderId="0" applyNumberFormat="0" applyProtection="0">
      <alignment horizontal="left" vertical="center" indent="1"/>
    </xf>
    <xf numFmtId="4" fontId="289" fillId="81" borderId="37" applyNumberFormat="0" applyProtection="0">
      <alignment horizontal="right" vertical="center"/>
    </xf>
    <xf numFmtId="4" fontId="289" fillId="79" borderId="37" applyNumberFormat="0" applyProtection="0">
      <alignment horizontal="right" vertical="center"/>
    </xf>
    <xf numFmtId="4" fontId="289" fillId="82" borderId="37" applyNumberFormat="0" applyProtection="0">
      <alignment horizontal="right" vertical="center"/>
    </xf>
    <xf numFmtId="4" fontId="289" fillId="72" borderId="37" applyNumberFormat="0" applyProtection="0">
      <alignment horizontal="right" vertical="center"/>
    </xf>
    <xf numFmtId="4" fontId="289" fillId="83" borderId="37" applyNumberFormat="0" applyProtection="0">
      <alignment horizontal="right" vertical="center"/>
    </xf>
    <xf numFmtId="4" fontId="289" fillId="77" borderId="37" applyNumberFormat="0" applyProtection="0">
      <alignment horizontal="right" vertical="center"/>
    </xf>
    <xf numFmtId="4" fontId="289" fillId="78" borderId="37" applyNumberFormat="0" applyProtection="0">
      <alignment horizontal="right" vertical="center"/>
    </xf>
    <xf numFmtId="4" fontId="289" fillId="84" borderId="37" applyNumberFormat="0" applyProtection="0">
      <alignment horizontal="right" vertical="center"/>
    </xf>
    <xf numFmtId="4" fontId="289" fillId="75" borderId="37" applyNumberFormat="0" applyProtection="0">
      <alignment horizontal="right" vertical="center"/>
    </xf>
    <xf numFmtId="4" fontId="287" fillId="85" borderId="38" applyNumberFormat="0" applyProtection="0">
      <alignment horizontal="left" vertical="center" indent="1"/>
    </xf>
    <xf numFmtId="4" fontId="287" fillId="86" borderId="0" applyNumberFormat="0" applyProtection="0">
      <alignment horizontal="left" vertical="center" indent="1"/>
    </xf>
    <xf numFmtId="4" fontId="287" fillId="80" borderId="0" applyNumberFormat="0" applyProtection="0">
      <alignment horizontal="left" vertical="center" indent="1"/>
    </xf>
    <xf numFmtId="4" fontId="289" fillId="86" borderId="37" applyNumberFormat="0" applyProtection="0">
      <alignment horizontal="right" vertical="center"/>
    </xf>
    <xf numFmtId="4" fontId="49" fillId="86" borderId="0" applyNumberFormat="0" applyProtection="0">
      <alignment horizontal="left" vertical="center" indent="1"/>
    </xf>
    <xf numFmtId="4" fontId="49" fillId="80" borderId="0" applyNumberFormat="0" applyProtection="0">
      <alignment horizontal="left" vertical="center" indent="1"/>
    </xf>
    <xf numFmtId="4" fontId="289" fillId="76" borderId="37" applyNumberFormat="0" applyProtection="0">
      <alignment vertical="center"/>
    </xf>
    <xf numFmtId="4" fontId="290" fillId="76" borderId="37" applyNumberFormat="0" applyProtection="0">
      <alignment vertical="center"/>
    </xf>
    <xf numFmtId="4" fontId="287" fillId="86" borderId="39" applyNumberFormat="0" applyProtection="0">
      <alignment horizontal="left" vertical="center" indent="1"/>
    </xf>
    <xf numFmtId="4" fontId="289" fillId="76" borderId="37" applyNumberFormat="0" applyProtection="0">
      <alignment horizontal="right" vertical="center"/>
    </xf>
    <xf numFmtId="4" fontId="290" fillId="76" borderId="37" applyNumberFormat="0" applyProtection="0">
      <alignment horizontal="right" vertical="center"/>
    </xf>
    <xf numFmtId="4" fontId="287" fillId="86" borderId="37" applyNumberFormat="0" applyProtection="0">
      <alignment horizontal="left" vertical="center" indent="1"/>
    </xf>
    <xf numFmtId="4" fontId="291" fillId="87" borderId="39" applyNumberFormat="0" applyProtection="0">
      <alignment horizontal="left" vertical="center" indent="1"/>
    </xf>
    <xf numFmtId="4" fontId="292" fillId="76" borderId="37" applyNumberFormat="0" applyProtection="0">
      <alignment horizontal="right" vertical="center"/>
    </xf>
    <xf numFmtId="165" fontId="186" fillId="0" borderId="0" applyFont="0" applyFill="0" applyBorder="0" applyAlignment="0" applyProtection="0"/>
    <xf numFmtId="166" fontId="186" fillId="0" borderId="0" applyFont="0" applyFill="0" applyBorder="0" applyAlignment="0" applyProtection="0"/>
    <xf numFmtId="0" fontId="240" fillId="0" borderId="0"/>
    <xf numFmtId="220" fontId="41" fillId="0" borderId="0" applyFill="0" applyBorder="0" applyAlignment="0" applyProtection="0"/>
    <xf numFmtId="0" fontId="261" fillId="0" borderId="0"/>
    <xf numFmtId="0" fontId="124" fillId="0" borderId="0"/>
    <xf numFmtId="0" fontId="41" fillId="0" borderId="0"/>
    <xf numFmtId="219" fontId="22" fillId="0" borderId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22" fillId="0" borderId="0"/>
    <xf numFmtId="0" fontId="22" fillId="0" borderId="0"/>
    <xf numFmtId="0" fontId="3" fillId="0" borderId="0"/>
    <xf numFmtId="0" fontId="293" fillId="0" borderId="0"/>
    <xf numFmtId="0" fontId="282" fillId="0" borderId="0"/>
    <xf numFmtId="0" fontId="294" fillId="0" borderId="0"/>
    <xf numFmtId="0" fontId="41" fillId="0" borderId="0"/>
    <xf numFmtId="0" fontId="1" fillId="0" borderId="0"/>
    <xf numFmtId="0" fontId="3" fillId="0" borderId="0"/>
    <xf numFmtId="0" fontId="46" fillId="0" borderId="0"/>
    <xf numFmtId="0" fontId="46" fillId="0" borderId="0"/>
    <xf numFmtId="166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/>
    <xf numFmtId="166" fontId="50" fillId="0" borderId="0" applyFont="0" applyFill="0" applyBorder="0" applyAlignment="0" applyProtection="0"/>
    <xf numFmtId="0" fontId="295" fillId="38" borderId="0">
      <alignment horizontal="left"/>
    </xf>
    <xf numFmtId="14" fontId="42" fillId="66" borderId="40">
      <alignment horizontal="left"/>
    </xf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/>
    <xf numFmtId="0" fontId="46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38" fillId="0" borderId="0"/>
    <xf numFmtId="0" fontId="3" fillId="0" borderId="0"/>
    <xf numFmtId="0" fontId="297" fillId="0" borderId="0"/>
    <xf numFmtId="0" fontId="296" fillId="0" borderId="0"/>
    <xf numFmtId="0" fontId="296" fillId="0" borderId="0"/>
    <xf numFmtId="166" fontId="3" fillId="0" borderId="0" applyFont="0" applyFill="0" applyBorder="0" applyAlignment="0" applyProtection="0"/>
    <xf numFmtId="0" fontId="298" fillId="0" borderId="0"/>
    <xf numFmtId="0" fontId="299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4" fontId="49" fillId="0" borderId="0" applyFill="0" applyBorder="0" applyAlignment="0"/>
    <xf numFmtId="17" fontId="41" fillId="0" borderId="0">
      <alignment horizontal="left"/>
    </xf>
    <xf numFmtId="0" fontId="174" fillId="0" borderId="0"/>
    <xf numFmtId="0" fontId="174" fillId="0" borderId="0"/>
    <xf numFmtId="0" fontId="3" fillId="0" borderId="0"/>
    <xf numFmtId="0" fontId="3" fillId="0" borderId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1" fillId="0" borderId="10" applyNumberFormat="0" applyFont="0" applyFill="0" applyAlignment="0" applyProtection="0"/>
    <xf numFmtId="49" fontId="49" fillId="0" borderId="0" applyFill="0" applyBorder="0" applyAlignment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0" fontId="22" fillId="0" borderId="0"/>
    <xf numFmtId="166" fontId="41" fillId="0" borderId="0" applyFont="0" applyFill="0" applyBorder="0" applyAlignment="0" applyProtection="0"/>
    <xf numFmtId="0" fontId="4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240" fillId="0" borderId="0"/>
    <xf numFmtId="166" fontId="41" fillId="0" borderId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41" fillId="0" borderId="0" applyNumberForma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" fontId="10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166" fontId="22" fillId="0" borderId="0" applyFont="0" applyFill="0" applyBorder="0" applyAlignment="0" applyProtection="0"/>
    <xf numFmtId="0" fontId="42" fillId="0" borderId="0"/>
    <xf numFmtId="0" fontId="174" fillId="0" borderId="0"/>
    <xf numFmtId="0" fontId="105" fillId="0" borderId="0"/>
    <xf numFmtId="0" fontId="42" fillId="0" borderId="0"/>
    <xf numFmtId="0" fontId="22" fillId="0" borderId="0"/>
    <xf numFmtId="9" fontId="2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22" fillId="0" borderId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166" fontId="4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105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43" fillId="0" borderId="0"/>
    <xf numFmtId="166" fontId="43" fillId="0" borderId="0" applyFont="0" applyFill="0" applyBorder="0" applyAlignment="0" applyProtection="0"/>
    <xf numFmtId="0" fontId="1" fillId="0" borderId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38" fontId="177" fillId="0" borderId="0" applyNumberFormat="0" applyFont="0" applyFill="0" applyBorder="0" applyAlignment="0"/>
    <xf numFmtId="0" fontId="41" fillId="88" borderId="22" applyNumberFormat="0" applyProtection="0">
      <alignment horizontal="left" vertical="center" indent="1"/>
    </xf>
    <xf numFmtId="0" fontId="309" fillId="0" borderId="0">
      <alignment horizontal="center"/>
    </xf>
    <xf numFmtId="0" fontId="183" fillId="0" borderId="0">
      <alignment horizontal="center"/>
    </xf>
    <xf numFmtId="230" fontId="41" fillId="0" borderId="0"/>
    <xf numFmtId="0" fontId="3" fillId="0" borderId="0"/>
    <xf numFmtId="0" fontId="22" fillId="0" borderId="0"/>
    <xf numFmtId="0" fontId="130" fillId="0" borderId="0"/>
    <xf numFmtId="0" fontId="130" fillId="0" borderId="0"/>
    <xf numFmtId="0" fontId="307" fillId="0" borderId="0"/>
    <xf numFmtId="0" fontId="308" fillId="0" borderId="0"/>
    <xf numFmtId="0" fontId="130" fillId="0" borderId="0"/>
    <xf numFmtId="0" fontId="307" fillId="0" borderId="0"/>
    <xf numFmtId="0" fontId="130" fillId="0" borderId="0"/>
    <xf numFmtId="0" fontId="307" fillId="0" borderId="0"/>
    <xf numFmtId="0" fontId="177" fillId="0" borderId="0" applyNumberFormat="0" applyFont="0" applyFill="0" applyBorder="0" applyProtection="0">
      <alignment horizontal="left" vertical="center"/>
    </xf>
    <xf numFmtId="174" fontId="306" fillId="0" borderId="0"/>
    <xf numFmtId="229" fontId="41" fillId="0" borderId="0"/>
    <xf numFmtId="228" fontId="41" fillId="0" borderId="0" applyBorder="0" applyAlignment="0"/>
    <xf numFmtId="9" fontId="21" fillId="0" borderId="0"/>
    <xf numFmtId="9" fontId="21" fillId="0" borderId="0"/>
    <xf numFmtId="0" fontId="21" fillId="0" borderId="0"/>
    <xf numFmtId="0" fontId="21" fillId="0" borderId="0"/>
    <xf numFmtId="220" fontId="21" fillId="0" borderId="0"/>
    <xf numFmtId="220" fontId="21" fillId="0" borderId="0"/>
    <xf numFmtId="227" fontId="41" fillId="0" borderId="0"/>
    <xf numFmtId="0" fontId="22" fillId="0" borderId="0" applyNumberFormat="0" applyFill="0" applyAlignment="0">
      <alignment horizontal="center"/>
    </xf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125" fillId="54" borderId="0" applyNumberFormat="0" applyBorder="0" applyAlignment="0" applyProtection="0"/>
    <xf numFmtId="0" fontId="125" fillId="53" borderId="0" applyNumberFormat="0" applyBorder="0" applyAlignment="0" applyProtection="0"/>
    <xf numFmtId="0" fontId="125" fillId="52" borderId="0" applyNumberFormat="0" applyBorder="0" applyAlignment="0" applyProtection="0"/>
    <xf numFmtId="0" fontId="125" fillId="49" borderId="0" applyNumberFormat="0" applyBorder="0" applyAlignment="0" applyProtection="0"/>
    <xf numFmtId="0" fontId="125" fillId="48" borderId="0" applyNumberFormat="0" applyBorder="0" applyAlignment="0" applyProtection="0"/>
    <xf numFmtId="0" fontId="125" fillId="51" borderId="0" applyNumberFormat="0" applyBorder="0" applyAlignment="0" applyProtection="0"/>
    <xf numFmtId="0" fontId="124" fillId="50" borderId="0" applyNumberFormat="0" applyBorder="0" applyAlignment="0" applyProtection="0"/>
    <xf numFmtId="0" fontId="124" fillId="47" borderId="0" applyNumberFormat="0" applyBorder="0" applyAlignment="0" applyProtection="0"/>
    <xf numFmtId="0" fontId="124" fillId="44" borderId="0" applyNumberFormat="0" applyBorder="0" applyAlignment="0" applyProtection="0"/>
    <xf numFmtId="0" fontId="124" fillId="49" borderId="0" applyNumberFormat="0" applyBorder="0" applyAlignment="0" applyProtection="0"/>
    <xf numFmtId="0" fontId="124" fillId="48" borderId="0" applyNumberFormat="0" applyBorder="0" applyAlignment="0" applyProtection="0"/>
    <xf numFmtId="0" fontId="124" fillId="47" borderId="0" applyNumberFormat="0" applyBorder="0" applyAlignment="0" applyProtection="0"/>
    <xf numFmtId="0" fontId="124" fillId="46" borderId="0" applyNumberFormat="0" applyBorder="0" applyAlignment="0" applyProtection="0"/>
    <xf numFmtId="0" fontId="124" fillId="45" borderId="0" applyNumberFormat="0" applyBorder="0" applyAlignment="0" applyProtection="0"/>
    <xf numFmtId="0" fontId="124" fillId="44" borderId="0" applyNumberFormat="0" applyBorder="0" applyAlignment="0" applyProtection="0"/>
    <xf numFmtId="0" fontId="124" fillId="43" borderId="0" applyNumberFormat="0" applyBorder="0" applyAlignment="0" applyProtection="0"/>
    <xf numFmtId="0" fontId="124" fillId="42" borderId="0" applyNumberFormat="0" applyBorder="0" applyAlignment="0" applyProtection="0"/>
    <xf numFmtId="0" fontId="124" fillId="41" borderId="0" applyNumberFormat="0" applyBorder="0" applyAlignment="0" applyProtection="0"/>
    <xf numFmtId="0" fontId="41" fillId="0" borderId="0"/>
    <xf numFmtId="0" fontId="49" fillId="0" borderId="0">
      <alignment vertical="top"/>
    </xf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9" fillId="0" borderId="0">
      <alignment vertical="top"/>
    </xf>
    <xf numFmtId="0" fontId="41" fillId="0" borderId="0" applyNumberFormat="0" applyFill="0" applyBorder="0" applyAlignment="0" applyProtection="0"/>
    <xf numFmtId="0" fontId="305" fillId="0" borderId="0"/>
    <xf numFmtId="165" fontId="304" fillId="0" borderId="0" applyFont="0" applyFill="0" applyBorder="0" applyAlignment="0" applyProtection="0"/>
    <xf numFmtId="0" fontId="30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1" fontId="41" fillId="0" borderId="10" applyNumberFormat="0" applyFill="0" applyAlignment="0" applyProtection="0">
      <alignment horizontal="center" vertical="center"/>
    </xf>
    <xf numFmtId="0" fontId="301" fillId="0" borderId="0" applyNumberFormat="0" applyFill="0" applyBorder="0" applyAlignment="0" applyProtection="0"/>
    <xf numFmtId="0" fontId="302" fillId="0" borderId="0" applyNumberFormat="0" applyFill="0" applyBorder="0" applyAlignment="0" applyProtection="0"/>
    <xf numFmtId="0" fontId="22" fillId="0" borderId="0"/>
    <xf numFmtId="0" fontId="43" fillId="0" borderId="0"/>
    <xf numFmtId="0" fontId="1" fillId="0" borderId="0"/>
    <xf numFmtId="166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39" fontId="310" fillId="0" borderId="0"/>
    <xf numFmtId="0" fontId="311" fillId="0" borderId="0" applyBorder="0" applyAlignment="0"/>
    <xf numFmtId="0" fontId="218" fillId="0" borderId="0" applyNumberFormat="0" applyFont="0" applyFill="0" applyBorder="0" applyProtection="0">
      <alignment horizontal="center" vertical="center" wrapText="1"/>
    </xf>
    <xf numFmtId="0" fontId="31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36" fillId="60" borderId="16" applyNumberFormat="0" applyAlignment="0" applyProtection="0"/>
    <xf numFmtId="0" fontId="137" fillId="0" borderId="20" applyNumberFormat="0" applyFill="0" applyAlignment="0" applyProtection="0"/>
    <xf numFmtId="0" fontId="138" fillId="42" borderId="0" applyNumberFormat="0" applyBorder="0" applyAlignment="0" applyProtection="0"/>
    <xf numFmtId="0" fontId="139" fillId="59" borderId="22" applyNumberFormat="0" applyAlignment="0" applyProtection="0"/>
    <xf numFmtId="0" fontId="140" fillId="59" borderId="15" applyNumberFormat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4" fillId="43" borderId="0" applyNumberFormat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45" fillId="46" borderId="15" applyNumberFormat="0" applyAlignment="0" applyProtection="0"/>
    <xf numFmtId="0" fontId="146" fillId="61" borderId="0" applyNumberFormat="0" applyBorder="0" applyAlignment="0" applyProtection="0"/>
    <xf numFmtId="0" fontId="147" fillId="0" borderId="23" applyNumberFormat="0" applyFill="0" applyAlignment="0" applyProtection="0"/>
    <xf numFmtId="0" fontId="41" fillId="0" borderId="0" applyFont="0" applyFill="0" applyBorder="0" applyAlignment="0" applyProtection="0"/>
    <xf numFmtId="8" fontId="41" fillId="0" borderId="0" applyFont="0" applyFill="0" applyBorder="0" applyAlignment="0" applyProtection="0"/>
    <xf numFmtId="0" fontId="125" fillId="55" borderId="0" applyNumberFormat="0" applyBorder="0" applyAlignment="0" applyProtection="0"/>
    <xf numFmtId="0" fontId="125" fillId="56" borderId="0" applyNumberFormat="0" applyBorder="0" applyAlignment="0" applyProtection="0"/>
    <xf numFmtId="0" fontId="125" fillId="57" borderId="0" applyNumberFormat="0" applyBorder="0" applyAlignment="0" applyProtection="0"/>
    <xf numFmtId="0" fontId="125" fillId="52" borderId="0" applyNumberFormat="0" applyBorder="0" applyAlignment="0" applyProtection="0"/>
    <xf numFmtId="0" fontId="125" fillId="53" borderId="0" applyNumberFormat="0" applyBorder="0" applyAlignment="0" applyProtection="0"/>
    <xf numFmtId="0" fontId="125" fillId="58" borderId="0" applyNumberFormat="0" applyBorder="0" applyAlignment="0" applyProtection="0"/>
    <xf numFmtId="0" fontId="22" fillId="62" borderId="21" applyNumberFormat="0" applyFont="0" applyAlignment="0" applyProtection="0"/>
    <xf numFmtId="0" fontId="148" fillId="0" borderId="17" applyNumberFormat="0" applyFill="0" applyAlignment="0" applyProtection="0"/>
    <xf numFmtId="0" fontId="149" fillId="0" borderId="18" applyNumberFormat="0" applyFill="0" applyAlignment="0" applyProtection="0"/>
    <xf numFmtId="0" fontId="150" fillId="0" borderId="19" applyNumberFormat="0" applyFill="0" applyAlignment="0" applyProtection="0"/>
    <xf numFmtId="0" fontId="150" fillId="0" borderId="0" applyNumberFormat="0" applyFill="0" applyBorder="0" applyAlignment="0" applyProtection="0"/>
    <xf numFmtId="183" fontId="310" fillId="0" borderId="0"/>
    <xf numFmtId="165" fontId="199" fillId="0" borderId="0" applyFont="0" applyFill="0" applyBorder="0" applyAlignment="0" applyProtection="0"/>
    <xf numFmtId="166" fontId="199" fillId="0" borderId="0" applyFont="0" applyFill="0" applyBorder="0" applyAlignment="0" applyProtection="0"/>
    <xf numFmtId="0" fontId="313" fillId="0" borderId="0"/>
    <xf numFmtId="0" fontId="314" fillId="0" borderId="0"/>
    <xf numFmtId="0" fontId="315" fillId="0" borderId="0" applyNumberFormat="0" applyFill="0" applyBorder="0" applyAlignment="0" applyProtection="0">
      <alignment vertical="top"/>
      <protection locked="0"/>
    </xf>
    <xf numFmtId="231" fontId="316" fillId="0" borderId="0" applyFont="0" applyFill="0" applyBorder="0" applyAlignment="0" applyProtection="0"/>
    <xf numFmtId="231" fontId="199" fillId="0" borderId="0" applyFont="0" applyFill="0" applyBorder="0" applyAlignment="0" applyProtection="0"/>
    <xf numFmtId="232" fontId="199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22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22" fillId="0" borderId="0"/>
    <xf numFmtId="0" fontId="41" fillId="0" borderId="0"/>
    <xf numFmtId="0" fontId="209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17" fillId="0" borderId="0" applyNumberFormat="0" applyFill="0" applyBorder="0" applyAlignment="0" applyProtection="0">
      <alignment vertical="top"/>
      <protection locked="0"/>
    </xf>
    <xf numFmtId="0" fontId="318" fillId="0" borderId="0" applyNumberFormat="0" applyFill="0" applyBorder="0" applyAlignment="0" applyProtection="0">
      <alignment vertical="top"/>
      <protection locked="0"/>
    </xf>
    <xf numFmtId="196" fontId="319" fillId="0" borderId="0" applyFont="0" applyFill="0" applyBorder="0" applyAlignment="0" applyProtection="0"/>
    <xf numFmtId="0" fontId="3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42" fillId="0" borderId="0" applyFont="0" applyFill="0" applyBorder="0" applyAlignment="0" applyProtection="0"/>
    <xf numFmtId="0" fontId="21" fillId="0" borderId="0"/>
    <xf numFmtId="0" fontId="21" fillId="0" borderId="0"/>
    <xf numFmtId="0" fontId="42" fillId="0" borderId="0"/>
    <xf numFmtId="0" fontId="22" fillId="0" borderId="0"/>
    <xf numFmtId="0" fontId="41" fillId="0" borderId="0"/>
    <xf numFmtId="0" fontId="3" fillId="0" borderId="0"/>
    <xf numFmtId="0" fontId="3" fillId="0" borderId="0"/>
    <xf numFmtId="166" fontId="2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1" fillId="0" borderId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209" fillId="0" borderId="0" applyFont="0" applyFill="0" applyBorder="0" applyAlignment="0" applyProtection="0"/>
    <xf numFmtId="0" fontId="320" fillId="0" borderId="0"/>
    <xf numFmtId="0" fontId="3" fillId="0" borderId="0"/>
    <xf numFmtId="0" fontId="41" fillId="0" borderId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4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0" fontId="282" fillId="0" borderId="0"/>
    <xf numFmtId="166" fontId="282" fillId="0" borderId="0" applyFont="0" applyFill="0" applyBorder="0" applyAlignment="0" applyProtection="0"/>
    <xf numFmtId="0" fontId="282" fillId="0" borderId="0"/>
    <xf numFmtId="166" fontId="28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8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321" fillId="0" borderId="0"/>
    <xf numFmtId="4" fontId="10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1" fontId="41" fillId="0" borderId="10" applyNumberFormat="0" applyFill="0" applyAlignment="0" applyProtection="0">
      <alignment horizontal="center" vertical="center"/>
    </xf>
    <xf numFmtId="0" fontId="41" fillId="0" borderId="10" applyNumberFormat="0" applyFont="0" applyFill="0" applyAlignment="0" applyProtection="0"/>
    <xf numFmtId="0" fontId="3" fillId="0" borderId="0"/>
    <xf numFmtId="0" fontId="22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" fontId="41" fillId="0" borderId="10" applyNumberFormat="0" applyFill="0" applyAlignment="0" applyProtection="0">
      <alignment horizontal="center" vertical="center"/>
    </xf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103" fillId="0" borderId="0" applyFont="0" applyFill="0" applyBorder="0" applyAlignment="0" applyProtection="0"/>
    <xf numFmtId="0" fontId="43" fillId="0" borderId="0"/>
    <xf numFmtId="0" fontId="3" fillId="0" borderId="0"/>
    <xf numFmtId="0" fontId="46" fillId="0" borderId="0"/>
    <xf numFmtId="166" fontId="22" fillId="0" borderId="0" applyFont="0" applyFill="0" applyBorder="0" applyAlignment="0" applyProtection="0"/>
    <xf numFmtId="0" fontId="46" fillId="0" borderId="0"/>
    <xf numFmtId="0" fontId="22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174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41" fillId="0" borderId="0"/>
    <xf numFmtId="9" fontId="22" fillId="0" borderId="0" applyFont="0" applyFill="0" applyBorder="0" applyAlignment="0" applyProtection="0"/>
    <xf numFmtId="0" fontId="4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41" fillId="0" borderId="10" applyNumberFormat="0" applyFont="0" applyFill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22" fillId="0" borderId="0"/>
    <xf numFmtId="9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1" fillId="0" borderId="0"/>
    <xf numFmtId="166" fontId="1" fillId="0" borderId="0" applyFont="0" applyFill="0" applyBorder="0" applyAlignment="0" applyProtection="0"/>
    <xf numFmtId="0" fontId="46" fillId="0" borderId="0"/>
    <xf numFmtId="0" fontId="242" fillId="41" borderId="0" applyNumberFormat="0" applyBorder="0" applyAlignment="0" applyProtection="0"/>
    <xf numFmtId="0" fontId="242" fillId="42" borderId="0" applyNumberFormat="0" applyBorder="0" applyAlignment="0" applyProtection="0"/>
    <xf numFmtId="0" fontId="242" fillId="43" borderId="0" applyNumberFormat="0" applyBorder="0" applyAlignment="0" applyProtection="0"/>
    <xf numFmtId="0" fontId="242" fillId="44" borderId="0" applyNumberFormat="0" applyBorder="0" applyAlignment="0" applyProtection="0"/>
    <xf numFmtId="0" fontId="242" fillId="45" borderId="0" applyNumberFormat="0" applyBorder="0" applyAlignment="0" applyProtection="0"/>
    <xf numFmtId="0" fontId="242" fillId="46" borderId="0" applyNumberFormat="0" applyBorder="0" applyAlignment="0" applyProtection="0"/>
    <xf numFmtId="0" fontId="242" fillId="47" borderId="0" applyNumberFormat="0" applyBorder="0" applyAlignment="0" applyProtection="0"/>
    <xf numFmtId="0" fontId="242" fillId="48" borderId="0" applyNumberFormat="0" applyBorder="0" applyAlignment="0" applyProtection="0"/>
    <xf numFmtId="0" fontId="242" fillId="49" borderId="0" applyNumberFormat="0" applyBorder="0" applyAlignment="0" applyProtection="0"/>
    <xf numFmtId="0" fontId="242" fillId="44" borderId="0" applyNumberFormat="0" applyBorder="0" applyAlignment="0" applyProtection="0"/>
    <xf numFmtId="0" fontId="242" fillId="47" borderId="0" applyNumberFormat="0" applyBorder="0" applyAlignment="0" applyProtection="0"/>
    <xf numFmtId="0" fontId="242" fillId="50" borderId="0" applyNumberFormat="0" applyBorder="0" applyAlignment="0" applyProtection="0"/>
    <xf numFmtId="0" fontId="243" fillId="51" borderId="0" applyNumberFormat="0" applyBorder="0" applyAlignment="0" applyProtection="0"/>
    <xf numFmtId="0" fontId="243" fillId="48" borderId="0" applyNumberFormat="0" applyBorder="0" applyAlignment="0" applyProtection="0"/>
    <xf numFmtId="0" fontId="243" fillId="49" borderId="0" applyNumberFormat="0" applyBorder="0" applyAlignment="0" applyProtection="0"/>
    <xf numFmtId="0" fontId="243" fillId="52" borderId="0" applyNumberFormat="0" applyBorder="0" applyAlignment="0" applyProtection="0"/>
    <xf numFmtId="0" fontId="243" fillId="53" borderId="0" applyNumberFormat="0" applyBorder="0" applyAlignment="0" applyProtection="0"/>
    <xf numFmtId="0" fontId="243" fillId="54" borderId="0" applyNumberFormat="0" applyBorder="0" applyAlignment="0" applyProtection="0"/>
    <xf numFmtId="166" fontId="5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/>
    <xf numFmtId="0" fontId="244" fillId="0" borderId="0" applyNumberFormat="0" applyFill="0" applyBorder="0" applyAlignment="0" applyProtection="0">
      <alignment vertical="top"/>
      <protection locked="0"/>
    </xf>
    <xf numFmtId="0" fontId="245" fillId="60" borderId="16" applyNumberFormat="0" applyAlignment="0" applyProtection="0"/>
    <xf numFmtId="0" fontId="246" fillId="0" borderId="20" applyNumberFormat="0" applyFill="0" applyAlignment="0" applyProtection="0"/>
    <xf numFmtId="0" fontId="247" fillId="42" borderId="0" applyNumberFormat="0" applyBorder="0" applyAlignment="0" applyProtection="0"/>
    <xf numFmtId="0" fontId="248" fillId="59" borderId="22" applyNumberFormat="0" applyAlignment="0" applyProtection="0"/>
    <xf numFmtId="0" fontId="249" fillId="59" borderId="15" applyNumberFormat="0" applyAlignment="0" applyProtection="0"/>
    <xf numFmtId="0" fontId="250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253" fillId="43" borderId="0" applyNumberFormat="0" applyBorder="0" applyAlignment="0" applyProtection="0"/>
    <xf numFmtId="0" fontId="254" fillId="0" borderId="0" applyNumberFormat="0" applyFill="0" applyBorder="0" applyAlignment="0" applyProtection="0">
      <alignment vertical="top"/>
      <protection locked="0"/>
    </xf>
    <xf numFmtId="0" fontId="255" fillId="46" borderId="15" applyNumberFormat="0" applyAlignment="0" applyProtection="0"/>
    <xf numFmtId="0" fontId="256" fillId="61" borderId="0" applyNumberFormat="0" applyBorder="0" applyAlignment="0" applyProtection="0"/>
    <xf numFmtId="0" fontId="257" fillId="0" borderId="23" applyNumberFormat="0" applyFill="0" applyAlignment="0" applyProtection="0"/>
    <xf numFmtId="0" fontId="243" fillId="55" borderId="0" applyNumberFormat="0" applyBorder="0" applyAlignment="0" applyProtection="0"/>
    <xf numFmtId="0" fontId="243" fillId="56" borderId="0" applyNumberFormat="0" applyBorder="0" applyAlignment="0" applyProtection="0"/>
    <xf numFmtId="0" fontId="243" fillId="57" borderId="0" applyNumberFormat="0" applyBorder="0" applyAlignment="0" applyProtection="0"/>
    <xf numFmtId="0" fontId="243" fillId="52" borderId="0" applyNumberFormat="0" applyBorder="0" applyAlignment="0" applyProtection="0"/>
    <xf numFmtId="0" fontId="243" fillId="53" borderId="0" applyNumberFormat="0" applyBorder="0" applyAlignment="0" applyProtection="0"/>
    <xf numFmtId="0" fontId="243" fillId="58" borderId="0" applyNumberFormat="0" applyBorder="0" applyAlignment="0" applyProtection="0"/>
    <xf numFmtId="0" fontId="41" fillId="62" borderId="21" applyNumberFormat="0" applyFont="0" applyAlignment="0" applyProtection="0"/>
    <xf numFmtId="0" fontId="258" fillId="0" borderId="17" applyNumberFormat="0" applyFill="0" applyAlignment="0" applyProtection="0"/>
    <xf numFmtId="0" fontId="259" fillId="0" borderId="18" applyNumberFormat="0" applyFill="0" applyAlignment="0" applyProtection="0"/>
    <xf numFmtId="0" fontId="260" fillId="0" borderId="19" applyNumberFormat="0" applyFill="0" applyAlignment="0" applyProtection="0"/>
    <xf numFmtId="0" fontId="260" fillId="0" borderId="0" applyNumberFormat="0" applyFill="0" applyBorder="0" applyAlignment="0" applyProtection="0"/>
    <xf numFmtId="224" fontId="41" fillId="0" borderId="0" applyFont="0" applyFill="0" applyBorder="0" applyAlignment="0" applyProtection="0"/>
    <xf numFmtId="0" fontId="41" fillId="0" borderId="0"/>
    <xf numFmtId="0" fontId="41" fillId="0" borderId="0"/>
    <xf numFmtId="0" fontId="22" fillId="0" borderId="0"/>
    <xf numFmtId="0" fontId="1" fillId="0" borderId="0"/>
    <xf numFmtId="0" fontId="22" fillId="0" borderId="0"/>
    <xf numFmtId="1" fontId="41" fillId="0" borderId="10" applyNumberFormat="0" applyFill="0" applyAlignment="0" applyProtection="0">
      <alignment horizontal="center" vertical="center"/>
    </xf>
    <xf numFmtId="0" fontId="41" fillId="0" borderId="0"/>
    <xf numFmtId="0" fontId="1" fillId="0" borderId="0"/>
    <xf numFmtId="166" fontId="22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50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66" fontId="133" fillId="0" borderId="0" applyFont="0" applyFill="0" applyBorder="0" applyAlignment="0" applyProtection="0"/>
    <xf numFmtId="0" fontId="124" fillId="0" borderId="0"/>
    <xf numFmtId="226" fontId="124" fillId="0" borderId="0" applyBorder="0" applyProtection="0"/>
    <xf numFmtId="166" fontId="22" fillId="0" borderId="0" applyFont="0" applyFill="0" applyBorder="0" applyAlignment="0" applyProtection="0"/>
    <xf numFmtId="219" fontId="22" fillId="0" borderId="0" applyFill="0" applyBorder="0" applyAlignment="0" applyProtection="0"/>
    <xf numFmtId="226" fontId="124" fillId="0" borderId="0" applyBorder="0" applyProtection="0"/>
    <xf numFmtId="219" fontId="22" fillId="0" borderId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219" fontId="22" fillId="0" borderId="0" applyFill="0" applyBorder="0" applyAlignment="0" applyProtection="0"/>
    <xf numFmtId="0" fontId="22" fillId="0" borderId="0"/>
    <xf numFmtId="4" fontId="287" fillId="86" borderId="37" applyNumberFormat="0" applyProtection="0">
      <alignment horizontal="left" vertical="center" indent="1"/>
    </xf>
    <xf numFmtId="0" fontId="240" fillId="0" borderId="0"/>
    <xf numFmtId="220" fontId="41" fillId="0" borderId="0" applyFill="0" applyBorder="0" applyAlignment="0" applyProtection="0"/>
    <xf numFmtId="0" fontId="261" fillId="0" borderId="0"/>
    <xf numFmtId="219" fontId="22" fillId="0" borderId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3" fillId="0" borderId="0"/>
    <xf numFmtId="0" fontId="282" fillId="0" borderId="0"/>
    <xf numFmtId="0" fontId="294" fillId="0" borderId="0"/>
    <xf numFmtId="0" fontId="41" fillId="0" borderId="0"/>
    <xf numFmtId="0" fontId="3" fillId="0" borderId="0"/>
    <xf numFmtId="0" fontId="46" fillId="0" borderId="0"/>
    <xf numFmtId="0" fontId="46" fillId="0" borderId="0"/>
    <xf numFmtId="166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50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40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22" fillId="0" borderId="0"/>
    <xf numFmtId="0" fontId="1" fillId="0" borderId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166" fontId="22" fillId="0" borderId="0" applyFont="0" applyFill="0" applyBorder="0" applyAlignment="0" applyProtection="0"/>
    <xf numFmtId="0" fontId="105" fillId="0" borderId="0"/>
    <xf numFmtId="166" fontId="22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3" fillId="0" borderId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43" fillId="0" borderId="0"/>
    <xf numFmtId="166" fontId="43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0" fontId="43" fillId="0" borderId="0"/>
    <xf numFmtId="0" fontId="22" fillId="0" borderId="0"/>
    <xf numFmtId="0" fontId="3" fillId="0" borderId="0"/>
    <xf numFmtId="0" fontId="3" fillId="0" borderId="0"/>
    <xf numFmtId="1" fontId="41" fillId="0" borderId="10" applyNumberFormat="0" applyFill="0" applyAlignment="0" applyProtection="0">
      <alignment horizontal="center" vertical="center"/>
    </xf>
    <xf numFmtId="0" fontId="22" fillId="0" borderId="0"/>
    <xf numFmtId="171" fontId="22" fillId="0" borderId="0" applyFont="0" applyFill="0" applyBorder="0" applyAlignment="0" applyProtection="0"/>
    <xf numFmtId="0" fontId="41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1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166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166" fontId="242" fillId="0" borderId="0" applyFont="0" applyFill="0" applyBorder="0" applyAlignment="0" applyProtection="0"/>
    <xf numFmtId="0" fontId="3" fillId="0" borderId="0"/>
    <xf numFmtId="0" fontId="22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166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24" fillId="0" borderId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0" fontId="3" fillId="0" borderId="0"/>
    <xf numFmtId="0" fontId="22" fillId="0" borderId="0"/>
    <xf numFmtId="166" fontId="22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2" fillId="49" borderId="0" applyNumberFormat="0" applyBorder="0" applyAlignment="0" applyProtection="0"/>
    <xf numFmtId="166" fontId="22" fillId="0" borderId="0" applyFont="0" applyFill="0" applyBorder="0" applyAlignment="0" applyProtection="0"/>
    <xf numFmtId="0" fontId="271" fillId="46" borderId="15" applyNumberFormat="0" applyAlignment="0" applyProtection="0"/>
    <xf numFmtId="0" fontId="271" fillId="46" borderId="15" applyNumberFormat="0" applyAlignment="0" applyProtection="0"/>
    <xf numFmtId="0" fontId="271" fillId="46" borderId="15" applyNumberFormat="0" applyAlignment="0" applyProtection="0"/>
    <xf numFmtId="10" fontId="103" fillId="39" borderId="25" applyNumberFormat="0" applyBorder="0" applyAlignment="0" applyProtection="0"/>
    <xf numFmtId="0" fontId="325" fillId="0" borderId="0" applyNumberFormat="0" applyFill="0" applyBorder="0" applyAlignment="0" applyProtection="0"/>
    <xf numFmtId="0" fontId="270" fillId="0" borderId="42" applyNumberFormat="0" applyFill="0" applyAlignment="0" applyProtection="0"/>
    <xf numFmtId="0" fontId="269" fillId="0" borderId="41" applyNumberFormat="0" applyFill="0" applyAlignment="0" applyProtection="0"/>
    <xf numFmtId="0" fontId="324" fillId="0" borderId="18" applyNumberFormat="0" applyFill="0" applyAlignment="0" applyProtection="0"/>
    <xf numFmtId="0" fontId="323" fillId="0" borderId="17" applyNumberFormat="0" applyFill="0" applyAlignment="0" applyProtection="0"/>
    <xf numFmtId="38" fontId="103" fillId="38" borderId="0" applyNumberFormat="0" applyBorder="0" applyAlignment="0" applyProtection="0"/>
    <xf numFmtId="38" fontId="103" fillId="38" borderId="0" applyNumberFormat="0" applyBorder="0" applyAlignment="0" applyProtection="0"/>
    <xf numFmtId="0" fontId="267" fillId="43" borderId="0" applyNumberFormat="0" applyBorder="0" applyAlignment="0" applyProtection="0"/>
    <xf numFmtId="0" fontId="266" fillId="0" borderId="0" applyNumberFormat="0" applyFill="0" applyBorder="0" applyAlignment="0" applyProtection="0"/>
    <xf numFmtId="0" fontId="124" fillId="0" borderId="0"/>
    <xf numFmtId="189" fontId="41" fillId="0" borderId="0" applyFont="0" applyFill="0" applyBorder="0" applyAlignment="0" applyProtection="0"/>
    <xf numFmtId="233" fontId="50" fillId="0" borderId="0" applyFont="0" applyFill="0" applyBorder="0" applyAlignment="0" applyProtection="0"/>
    <xf numFmtId="189" fontId="41" fillId="0" borderId="0" applyFont="0" applyFill="0" applyBorder="0" applyAlignment="0" applyProtection="0"/>
    <xf numFmtId="182" fontId="22" fillId="0" borderId="0" applyFill="0" applyBorder="0" applyAlignment="0"/>
    <xf numFmtId="182" fontId="22" fillId="0" borderId="0" applyFill="0" applyBorder="0" applyAlignment="0"/>
    <xf numFmtId="166" fontId="5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8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8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20" fontId="240" fillId="0" borderId="0" applyFill="0" applyBorder="0" applyAlignment="0" applyProtection="0"/>
    <xf numFmtId="166" fontId="22" fillId="0" borderId="0" applyFont="0" applyFill="0" applyBorder="0" applyAlignment="0" applyProtection="0"/>
    <xf numFmtId="220" fontId="240" fillId="0" borderId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265" fillId="60" borderId="16" applyNumberFormat="0" applyAlignment="0" applyProtection="0"/>
    <xf numFmtId="0" fontId="264" fillId="89" borderId="15" applyNumberFormat="0" applyAlignment="0" applyProtection="0"/>
    <xf numFmtId="0" fontId="264" fillId="59" borderId="15" applyNumberFormat="0" applyAlignment="0" applyProtection="0"/>
    <xf numFmtId="186" fontId="22" fillId="0" borderId="0" applyFill="0" applyBorder="0" applyAlignment="0"/>
    <xf numFmtId="182" fontId="22" fillId="0" borderId="0" applyFill="0" applyBorder="0" applyAlignment="0"/>
    <xf numFmtId="182" fontId="22" fillId="0" borderId="0" applyFill="0" applyBorder="0" applyAlignment="0"/>
    <xf numFmtId="0" fontId="263" fillId="42" borderId="0" applyNumberFormat="0" applyBorder="0" applyAlignment="0" applyProtection="0"/>
    <xf numFmtId="0" fontId="262" fillId="53" borderId="0" applyNumberFormat="0" applyBorder="0" applyAlignment="0" applyProtection="0"/>
    <xf numFmtId="0" fontId="262" fillId="52" borderId="0" applyNumberFormat="0" applyBorder="0" applyAlignment="0" applyProtection="0"/>
    <xf numFmtId="0" fontId="262" fillId="57" borderId="0" applyNumberFormat="0" applyBorder="0" applyAlignment="0" applyProtection="0"/>
    <xf numFmtId="0" fontId="262" fillId="55" borderId="0" applyNumberFormat="0" applyBorder="0" applyAlignment="0" applyProtection="0"/>
    <xf numFmtId="0" fontId="329" fillId="105" borderId="0" applyNumberFormat="0" applyBorder="0" applyAlignment="0" applyProtection="0"/>
    <xf numFmtId="0" fontId="329" fillId="105" borderId="0" applyNumberFormat="0" applyBorder="0" applyAlignment="0" applyProtection="0"/>
    <xf numFmtId="0" fontId="329" fillId="105" borderId="0" applyNumberFormat="0" applyBorder="0" applyAlignment="0" applyProtection="0"/>
    <xf numFmtId="0" fontId="329" fillId="104" borderId="0" applyNumberFormat="0" applyBorder="0" applyAlignment="0" applyProtection="0"/>
    <xf numFmtId="0" fontId="329" fillId="104" borderId="0" applyNumberFormat="0" applyBorder="0" applyAlignment="0" applyProtection="0"/>
    <xf numFmtId="0" fontId="329" fillId="103" borderId="0" applyNumberFormat="0" applyBorder="0" applyAlignment="0" applyProtection="0"/>
    <xf numFmtId="0" fontId="329" fillId="98" borderId="0" applyNumberFormat="0" applyBorder="0" applyAlignment="0" applyProtection="0"/>
    <xf numFmtId="0" fontId="329" fillId="98" borderId="0" applyNumberFormat="0" applyBorder="0" applyAlignment="0" applyProtection="0"/>
    <xf numFmtId="0" fontId="329" fillId="102" borderId="0" applyNumberFormat="0" applyBorder="0" applyAlignment="0" applyProtection="0"/>
    <xf numFmtId="0" fontId="329" fillId="102" borderId="0" applyNumberFormat="0" applyBorder="0" applyAlignment="0" applyProtection="0"/>
    <xf numFmtId="0" fontId="329" fillId="102" borderId="0" applyNumberFormat="0" applyBorder="0" applyAlignment="0" applyProtection="0"/>
    <xf numFmtId="0" fontId="262" fillId="54" borderId="0" applyNumberFormat="0" applyBorder="0" applyAlignment="0" applyProtection="0"/>
    <xf numFmtId="0" fontId="262" fillId="49" borderId="0" applyNumberFormat="0" applyBorder="0" applyAlignment="0" applyProtection="0"/>
    <xf numFmtId="0" fontId="262" fillId="53" borderId="0" applyNumberFormat="0" applyBorder="0" applyAlignment="0" applyProtection="0"/>
    <xf numFmtId="0" fontId="262" fillId="48" borderId="0" applyNumberFormat="0" applyBorder="0" applyAlignment="0" applyProtection="0"/>
    <xf numFmtId="0" fontId="262" fillId="49" borderId="0" applyNumberFormat="0" applyBorder="0" applyAlignment="0" applyProtection="0"/>
    <xf numFmtId="0" fontId="262" fillId="51" borderId="0" applyNumberFormat="0" applyBorder="0" applyAlignment="0" applyProtection="0"/>
    <xf numFmtId="0" fontId="328" fillId="101" borderId="0" applyNumberFormat="0" applyBorder="0" applyAlignment="0" applyProtection="0"/>
    <xf numFmtId="0" fontId="328" fillId="101" borderId="0" applyNumberFormat="0" applyBorder="0" applyAlignment="0" applyProtection="0"/>
    <xf numFmtId="0" fontId="328" fillId="101" borderId="0" applyNumberFormat="0" applyBorder="0" applyAlignment="0" applyProtection="0"/>
    <xf numFmtId="0" fontId="328" fillId="97" borderId="0" applyNumberFormat="0" applyBorder="0" applyAlignment="0" applyProtection="0"/>
    <xf numFmtId="0" fontId="3" fillId="0" borderId="0"/>
    <xf numFmtId="0" fontId="3" fillId="0" borderId="0"/>
    <xf numFmtId="0" fontId="328" fillId="97" borderId="0" applyNumberFormat="0" applyBorder="0" applyAlignment="0" applyProtection="0"/>
    <xf numFmtId="0" fontId="328" fillId="94" borderId="0" applyNumberFormat="0" applyBorder="0" applyAlignment="0" applyProtection="0"/>
    <xf numFmtId="0" fontId="328" fillId="94" borderId="0" applyNumberFormat="0" applyBorder="0" applyAlignment="0" applyProtection="0"/>
    <xf numFmtId="0" fontId="328" fillId="100" borderId="0" applyNumberFormat="0" applyBorder="0" applyAlignment="0" applyProtection="0"/>
    <xf numFmtId="0" fontId="328" fillId="97" borderId="0" applyNumberFormat="0" applyBorder="0" applyAlignment="0" applyProtection="0"/>
    <xf numFmtId="0" fontId="261" fillId="50" borderId="0" applyNumberFormat="0" applyBorder="0" applyAlignment="0" applyProtection="0"/>
    <xf numFmtId="0" fontId="261" fillId="49" borderId="0" applyNumberFormat="0" applyBorder="0" applyAlignment="0" applyProtection="0"/>
    <xf numFmtId="0" fontId="261" fillId="47" borderId="0" applyNumberFormat="0" applyBorder="0" applyAlignment="0" applyProtection="0"/>
    <xf numFmtId="0" fontId="261" fillId="89" borderId="0" applyNumberFormat="0" applyBorder="0" applyAlignment="0" applyProtection="0"/>
    <xf numFmtId="0" fontId="328" fillId="96" borderId="0" applyNumberFormat="0" applyBorder="0" applyAlignment="0" applyProtection="0"/>
    <xf numFmtId="0" fontId="328" fillId="96" borderId="0" applyNumberFormat="0" applyBorder="0" applyAlignment="0" applyProtection="0"/>
    <xf numFmtId="0" fontId="328" fillId="92" borderId="0" applyNumberFormat="0" applyBorder="0" applyAlignment="0" applyProtection="0"/>
    <xf numFmtId="0" fontId="261" fillId="45" borderId="0" applyNumberFormat="0" applyBorder="0" applyAlignment="0" applyProtection="0"/>
    <xf numFmtId="0" fontId="261" fillId="89" borderId="0" applyNumberFormat="0" applyBorder="0" applyAlignment="0" applyProtection="0"/>
    <xf numFmtId="0" fontId="261" fillId="44" borderId="0" applyNumberFormat="0" applyBorder="0" applyAlignment="0" applyProtection="0"/>
    <xf numFmtId="0" fontId="261" fillId="62" borderId="0" applyNumberFormat="0" applyBorder="0" applyAlignment="0" applyProtection="0"/>
    <xf numFmtId="0" fontId="261" fillId="43" borderId="0" applyNumberFormat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/>
    <xf numFmtId="0" fontId="41" fillId="0" borderId="0" applyNumberFormat="0" applyFill="0" applyBorder="0" applyAlignment="0" applyProtection="0"/>
    <xf numFmtId="219" fontId="22" fillId="0" borderId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328" fillId="97" borderId="0" applyNumberFormat="0" applyBorder="0" applyAlignment="0" applyProtection="0"/>
    <xf numFmtId="0" fontId="328" fillId="98" borderId="0" applyNumberFormat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61" fillId="49" borderId="0" applyNumberFormat="0" applyBorder="0" applyAlignment="0" applyProtection="0"/>
    <xf numFmtId="0" fontId="41" fillId="0" borderId="0" applyNumberFormat="0" applyFill="0" applyBorder="0" applyAlignment="0" applyProtection="0"/>
    <xf numFmtId="166" fontId="41" fillId="0" borderId="0" applyFont="0" applyFill="0" applyBorder="0" applyAlignment="0" applyProtection="0"/>
    <xf numFmtId="0" fontId="261" fillId="42" borderId="0" applyNumberFormat="0" applyBorder="0" applyAlignment="0" applyProtection="0"/>
    <xf numFmtId="0" fontId="261" fillId="49" borderId="0" applyNumberFormat="0" applyBorder="0" applyAlignment="0" applyProtection="0"/>
    <xf numFmtId="0" fontId="261" fillId="48" borderId="0" applyNumberFormat="0" applyBorder="0" applyAlignment="0" applyProtection="0"/>
    <xf numFmtId="0" fontId="261" fillId="47" borderId="0" applyNumberFormat="0" applyBorder="0" applyAlignment="0" applyProtection="0"/>
    <xf numFmtId="0" fontId="3" fillId="0" borderId="0"/>
    <xf numFmtId="0" fontId="3" fillId="0" borderId="0"/>
    <xf numFmtId="0" fontId="261" fillId="44" borderId="0" applyNumberFormat="0" applyBorder="0" applyAlignment="0" applyProtection="0"/>
    <xf numFmtId="0" fontId="328" fillId="96" borderId="0" applyNumberFormat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8" fillId="99" borderId="0" applyNumberFormat="0" applyBorder="0" applyAlignment="0" applyProtection="0"/>
    <xf numFmtId="0" fontId="3" fillId="0" borderId="0"/>
    <xf numFmtId="0" fontId="271" fillId="46" borderId="15" applyNumberFormat="0" applyAlignment="0" applyProtection="0"/>
    <xf numFmtId="10" fontId="103" fillId="39" borderId="25" applyNumberFormat="0" applyBorder="0" applyAlignment="0" applyProtection="0"/>
    <xf numFmtId="0" fontId="325" fillId="0" borderId="19" applyNumberFormat="0" applyFill="0" applyAlignment="0" applyProtection="0"/>
    <xf numFmtId="186" fontId="22" fillId="0" borderId="0" applyFill="0" applyBorder="0" applyAlignment="0"/>
    <xf numFmtId="0" fontId="240" fillId="0" borderId="0" applyNumberFormat="0" applyFill="0" applyBorder="0" applyProtection="0">
      <alignment horizontal="left"/>
    </xf>
    <xf numFmtId="0" fontId="240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0" fillId="0" borderId="0" applyNumberFormat="0" applyFill="0" applyBorder="0" applyProtection="0">
      <alignment horizontal="left"/>
    </xf>
    <xf numFmtId="44" fontId="41" fillId="0" borderId="0" applyFont="0" applyFill="0" applyBorder="0" applyAlignment="0" applyProtection="0"/>
    <xf numFmtId="0" fontId="261" fillId="49" borderId="0" applyNumberFormat="0" applyBorder="0" applyAlignment="0" applyProtection="0"/>
    <xf numFmtId="186" fontId="22" fillId="0" borderId="28">
      <alignment vertical="center"/>
    </xf>
    <xf numFmtId="0" fontId="240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41" fillId="0" borderId="0"/>
    <xf numFmtId="0" fontId="41" fillId="0" borderId="0"/>
    <xf numFmtId="166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220" fontId="240" fillId="0" borderId="0" applyFill="0" applyBorder="0" applyAlignment="0" applyProtection="0"/>
    <xf numFmtId="185" fontId="22" fillId="0" borderId="0" applyFill="0" applyBorder="0" applyAlignment="0"/>
    <xf numFmtId="0" fontId="22" fillId="0" borderId="0" applyFill="0" applyBorder="0" applyAlignment="0"/>
    <xf numFmtId="37" fontId="50" fillId="0" borderId="0">
      <alignment vertical="center"/>
    </xf>
    <xf numFmtId="0" fontId="262" fillId="58" borderId="0" applyNumberFormat="0" applyBorder="0" applyAlignment="0" applyProtection="0"/>
    <xf numFmtId="0" fontId="262" fillId="56" borderId="0" applyNumberFormat="0" applyBorder="0" applyAlignment="0" applyProtection="0"/>
    <xf numFmtId="0" fontId="329" fillId="103" borderId="0" applyNumberFormat="0" applyBorder="0" applyAlignment="0" applyProtection="0"/>
    <xf numFmtId="0" fontId="329" fillId="103" borderId="0" applyNumberFormat="0" applyBorder="0" applyAlignment="0" applyProtection="0"/>
    <xf numFmtId="0" fontId="329" fillId="100" borderId="0" applyNumberFormat="0" applyBorder="0" applyAlignment="0" applyProtection="0"/>
    <xf numFmtId="0" fontId="329" fillId="99" borderId="0" applyNumberFormat="0" applyBorder="0" applyAlignment="0" applyProtection="0"/>
    <xf numFmtId="0" fontId="329" fillId="99" borderId="0" applyNumberFormat="0" applyBorder="0" applyAlignment="0" applyProtection="0"/>
    <xf numFmtId="0" fontId="262" fillId="52" borderId="0" applyNumberFormat="0" applyBorder="0" applyAlignment="0" applyProtection="0"/>
    <xf numFmtId="0" fontId="262" fillId="49" borderId="0" applyNumberFormat="0" applyBorder="0" applyAlignment="0" applyProtection="0"/>
    <xf numFmtId="0" fontId="328" fillId="99" borderId="0" applyNumberFormat="0" applyBorder="0" applyAlignment="0" applyProtection="0"/>
    <xf numFmtId="0" fontId="3" fillId="0" borderId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41" fillId="0" borderId="0"/>
    <xf numFmtId="166" fontId="22" fillId="0" borderId="0"/>
    <xf numFmtId="166" fontId="22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28" fillId="98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1" fillId="0" borderId="0"/>
    <xf numFmtId="0" fontId="328" fillId="95" borderId="0" applyNumberFormat="0" applyBorder="0" applyAlignment="0" applyProtection="0"/>
    <xf numFmtId="166" fontId="1" fillId="0" borderId="0" applyFont="0" applyFill="0" applyBorder="0" applyAlignment="0" applyProtection="0"/>
    <xf numFmtId="0" fontId="261" fillId="41" borderId="0" applyNumberFormat="0" applyBorder="0" applyAlignment="0" applyProtection="0"/>
    <xf numFmtId="0" fontId="328" fillId="95" borderId="0" applyNumberFormat="0" applyBorder="0" applyAlignment="0" applyProtection="0"/>
    <xf numFmtId="0" fontId="328" fillId="93" borderId="0" applyNumberFormat="0" applyBorder="0" applyAlignment="0" applyProtection="0"/>
    <xf numFmtId="0" fontId="41" fillId="0" borderId="0"/>
    <xf numFmtId="0" fontId="328" fillId="94" borderId="0" applyNumberFormat="0" applyBorder="0" applyAlignment="0" applyProtection="0"/>
    <xf numFmtId="0" fontId="3" fillId="0" borderId="0"/>
    <xf numFmtId="0" fontId="3" fillId="0" borderId="0"/>
    <xf numFmtId="0" fontId="328" fillId="94" borderId="0" applyNumberFormat="0" applyBorder="0" applyAlignment="0" applyProtection="0"/>
    <xf numFmtId="0" fontId="328" fillId="95" borderId="0" applyNumberFormat="0" applyBorder="0" applyAlignment="0" applyProtection="0"/>
    <xf numFmtId="0" fontId="41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1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41" fillId="0" borderId="0"/>
    <xf numFmtId="0" fontId="41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28" fillId="93" borderId="0" applyNumberFormat="0" applyBorder="0" applyAlignment="0" applyProtection="0"/>
    <xf numFmtId="0" fontId="328" fillId="97" borderId="0" applyNumberFormat="0" applyBorder="0" applyAlignment="0" applyProtection="0"/>
    <xf numFmtId="166" fontId="43" fillId="0" borderId="0" applyFont="0" applyFill="0" applyBorder="0" applyAlignment="0" applyProtection="0"/>
    <xf numFmtId="0" fontId="41" fillId="0" borderId="0"/>
    <xf numFmtId="0" fontId="3" fillId="0" borderId="0"/>
    <xf numFmtId="0" fontId="3" fillId="0" borderId="0"/>
    <xf numFmtId="0" fontId="41" fillId="0" borderId="0"/>
    <xf numFmtId="0" fontId="328" fillId="92" borderId="0" applyNumberFormat="0" applyBorder="0" applyAlignment="0" applyProtection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0" fontId="3" fillId="0" borderId="0"/>
    <xf numFmtId="0" fontId="328" fillId="91" borderId="0" applyNumberFormat="0" applyBorder="0" applyAlignment="0" applyProtection="0"/>
    <xf numFmtId="166" fontId="22" fillId="0" borderId="0" applyFont="0" applyFill="0" applyBorder="0" applyAlignment="0" applyProtection="0"/>
    <xf numFmtId="0" fontId="328" fillId="90" borderId="0" applyNumberFormat="0" applyBorder="0" applyAlignment="0" applyProtection="0"/>
    <xf numFmtId="0" fontId="3" fillId="0" borderId="0"/>
    <xf numFmtId="0" fontId="3" fillId="0" borderId="0"/>
    <xf numFmtId="166" fontId="1" fillId="0" borderId="0" applyFont="0" applyFill="0" applyBorder="0" applyAlignment="0" applyProtection="0"/>
    <xf numFmtId="0" fontId="328" fillId="90" borderId="0" applyNumberFormat="0" applyBorder="0" applyAlignment="0" applyProtection="0"/>
    <xf numFmtId="0" fontId="41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28" fillId="97" borderId="0" applyNumberFormat="0" applyBorder="0" applyAlignment="0" applyProtection="0"/>
    <xf numFmtId="0" fontId="261" fillId="46" borderId="0" applyNumberFormat="0" applyBorder="0" applyAlignment="0" applyProtection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0" fontId="3" fillId="0" borderId="0"/>
    <xf numFmtId="0" fontId="261" fillId="46" borderId="0" applyNumberFormat="0" applyBorder="0" applyAlignment="0" applyProtection="0"/>
    <xf numFmtId="166" fontId="22" fillId="0" borderId="0" applyFont="0" applyFill="0" applyBorder="0" applyAlignment="0" applyProtection="0"/>
    <xf numFmtId="0" fontId="261" fillId="49" borderId="0" applyNumberFormat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28" fillId="46" borderId="15" applyNumberFormat="0" applyAlignment="0" applyProtection="0"/>
    <xf numFmtId="0" fontId="228" fillId="46" borderId="15" applyNumberFormat="0" applyAlignment="0" applyProtection="0"/>
    <xf numFmtId="0" fontId="228" fillId="46" borderId="15" applyNumberFormat="0" applyAlignment="0" applyProtection="0"/>
    <xf numFmtId="0" fontId="228" fillId="46" borderId="15" applyNumberFormat="0" applyAlignment="0" applyProtection="0"/>
    <xf numFmtId="0" fontId="271" fillId="46" borderId="15" applyNumberFormat="0" applyAlignment="0" applyProtection="0"/>
    <xf numFmtId="0" fontId="228" fillId="46" borderId="15" applyNumberFormat="0" applyAlignment="0" applyProtection="0"/>
    <xf numFmtId="0" fontId="271" fillId="46" borderId="15" applyNumberFormat="0" applyAlignment="0" applyProtection="0"/>
    <xf numFmtId="0" fontId="228" fillId="46" borderId="15" applyNumberFormat="0" applyAlignment="0" applyProtection="0"/>
    <xf numFmtId="0" fontId="271" fillId="46" borderId="15" applyNumberFormat="0" applyAlignment="0" applyProtection="0"/>
    <xf numFmtId="0" fontId="271" fillId="46" borderId="15" applyNumberFormat="0" applyAlignment="0" applyProtection="0"/>
    <xf numFmtId="0" fontId="271" fillId="46" borderId="15" applyNumberFormat="0" applyAlignment="0" applyProtection="0"/>
    <xf numFmtId="182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0" fontId="272" fillId="0" borderId="20" applyNumberFormat="0" applyFill="0" applyAlignment="0" applyProtection="0"/>
    <xf numFmtId="0" fontId="273" fillId="61" borderId="0" applyNumberFormat="0" applyBorder="0" applyAlignment="0" applyProtection="0"/>
    <xf numFmtId="0" fontId="227" fillId="61" borderId="0" applyNumberFormat="0" applyBorder="0" applyAlignment="0" applyProtection="0"/>
    <xf numFmtId="0" fontId="273" fillId="61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240" fillId="0" borderId="0"/>
    <xf numFmtId="0" fontId="21" fillId="0" borderId="0"/>
    <xf numFmtId="0" fontId="21" fillId="0" borderId="0"/>
    <xf numFmtId="0" fontId="349" fillId="0" borderId="0"/>
    <xf numFmtId="0" fontId="41" fillId="0" borderId="0"/>
    <xf numFmtId="0" fontId="240" fillId="0" borderId="0"/>
    <xf numFmtId="0" fontId="240" fillId="0" borderId="0"/>
    <xf numFmtId="0" fontId="17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2" fillId="0" borderId="0"/>
    <xf numFmtId="14" fontId="350" fillId="0" borderId="0"/>
    <xf numFmtId="0" fontId="41" fillId="0" borderId="0"/>
    <xf numFmtId="0" fontId="41" fillId="0" borderId="0"/>
    <xf numFmtId="0" fontId="41" fillId="0" borderId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82" fillId="0" borderId="0"/>
    <xf numFmtId="0" fontId="50" fillId="0" borderId="0"/>
    <xf numFmtId="0" fontId="41" fillId="0" borderId="0"/>
    <xf numFmtId="0" fontId="21" fillId="0" borderId="0"/>
    <xf numFmtId="0" fontId="41" fillId="0" borderId="0"/>
    <xf numFmtId="0" fontId="41" fillId="0" borderId="0"/>
    <xf numFmtId="0" fontId="50" fillId="0" borderId="0"/>
    <xf numFmtId="0" fontId="21" fillId="0" borderId="0"/>
    <xf numFmtId="0" fontId="261" fillId="0" borderId="0"/>
    <xf numFmtId="0" fontId="50" fillId="0" borderId="0"/>
    <xf numFmtId="0" fontId="41" fillId="0" borderId="0"/>
    <xf numFmtId="0" fontId="50" fillId="0" borderId="0"/>
    <xf numFmtId="0" fontId="21" fillId="0" borderId="0"/>
    <xf numFmtId="0" fontId="50" fillId="0" borderId="0"/>
    <xf numFmtId="0" fontId="41" fillId="0" borderId="0"/>
    <xf numFmtId="0" fontId="41" fillId="0" borderId="0"/>
    <xf numFmtId="0" fontId="22" fillId="0" borderId="0"/>
    <xf numFmtId="0" fontId="50" fillId="0" borderId="0"/>
    <xf numFmtId="0" fontId="50" fillId="0" borderId="0"/>
    <xf numFmtId="0" fontId="22" fillId="0" borderId="0"/>
    <xf numFmtId="0" fontId="326" fillId="62" borderId="21" applyNumberFormat="0" applyFont="0" applyAlignment="0" applyProtection="0"/>
    <xf numFmtId="0" fontId="261" fillId="62" borderId="21" applyNumberFormat="0" applyFont="0" applyAlignment="0" applyProtection="0"/>
    <xf numFmtId="0" fontId="21" fillId="62" borderId="21" applyNumberFormat="0" applyFont="0" applyAlignment="0" applyProtection="0"/>
    <xf numFmtId="0" fontId="274" fillId="59" borderId="22" applyNumberFormat="0" applyAlignment="0" applyProtection="0"/>
    <xf numFmtId="0" fontId="274" fillId="89" borderId="22" applyNumberFormat="0" applyAlignment="0" applyProtection="0"/>
    <xf numFmtId="195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40" fillId="0" borderId="0" applyFill="0" applyBorder="0" applyAlignment="0" applyProtection="0"/>
    <xf numFmtId="9" fontId="41" fillId="0" borderId="0" applyFont="0" applyFill="0" applyBorder="0" applyAlignment="0" applyProtection="0"/>
    <xf numFmtId="9" fontId="350" fillId="0" borderId="0" applyFill="0" applyBorder="0" applyAlignment="0" applyProtection="0"/>
    <xf numFmtId="9" fontId="240" fillId="0" borderId="0" applyFill="0" applyBorder="0" applyAlignment="0" applyProtection="0"/>
    <xf numFmtId="9" fontId="46" fillId="0" borderId="0" applyFont="0" applyFill="0" applyBorder="0" applyAlignment="0" applyProtection="0"/>
    <xf numFmtId="9" fontId="240" fillId="0" borderId="0" applyFill="0" applyBorder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40" fillId="0" borderId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1" fillId="0" borderId="0" applyFont="0" applyFill="0" applyBorder="0" applyAlignment="0" applyProtection="0"/>
    <xf numFmtId="182" fontId="22" fillId="0" borderId="0" applyFill="0" applyBorder="0" applyAlignment="0"/>
    <xf numFmtId="182" fontId="22" fillId="0" borderId="0" applyFill="0" applyBorder="0" applyAlignment="0"/>
    <xf numFmtId="186" fontId="22" fillId="0" borderId="0" applyFill="0" applyBorder="0" applyAlignment="0"/>
    <xf numFmtId="1" fontId="41" fillId="0" borderId="10" applyNumberFormat="0" applyFill="0" applyAlignment="0" applyProtection="0">
      <alignment horizontal="center" vertical="center"/>
    </xf>
    <xf numFmtId="0" fontId="41" fillId="0" borderId="0"/>
    <xf numFmtId="0" fontId="41" fillId="0" borderId="0"/>
    <xf numFmtId="0" fontId="41" fillId="0" borderId="0"/>
    <xf numFmtId="188" fontId="22" fillId="0" borderId="0" applyFill="0" applyBorder="0" applyAlignment="0"/>
    <xf numFmtId="185" fontId="22" fillId="0" borderId="0" applyFill="0" applyBorder="0" applyAlignment="0"/>
    <xf numFmtId="0" fontId="327" fillId="0" borderId="0" applyNumberFormat="0" applyFill="0" applyBorder="0" applyAlignment="0" applyProtection="0"/>
    <xf numFmtId="0" fontId="276" fillId="0" borderId="23" applyNumberFormat="0" applyFill="0" applyAlignment="0" applyProtection="0"/>
    <xf numFmtId="0" fontId="277" fillId="0" borderId="0" applyNumberFormat="0" applyFill="0" applyBorder="0" applyAlignment="0" applyProtection="0"/>
    <xf numFmtId="0" fontId="334" fillId="106" borderId="16" applyNumberFormat="0" applyAlignment="0" applyProtection="0"/>
    <xf numFmtId="0" fontId="334" fillId="106" borderId="16" applyNumberFormat="0" applyAlignment="0" applyProtection="0"/>
    <xf numFmtId="0" fontId="334" fillId="107" borderId="16" applyNumberFormat="0" applyAlignment="0" applyProtection="0"/>
    <xf numFmtId="0" fontId="335" fillId="0" borderId="20" applyNumberFormat="0" applyFill="0" applyAlignment="0" applyProtection="0"/>
    <xf numFmtId="0" fontId="335" fillId="0" borderId="20" applyNumberFormat="0" applyFill="0" applyAlignment="0" applyProtection="0"/>
    <xf numFmtId="0" fontId="340" fillId="92" borderId="0" applyNumberFormat="0" applyBorder="0" applyAlignment="0" applyProtection="0"/>
    <xf numFmtId="0" fontId="340" fillId="92" borderId="0" applyNumberFormat="0" applyBorder="0" applyAlignment="0" applyProtection="0"/>
    <xf numFmtId="0" fontId="341" fillId="92" borderId="0" applyNumberFormat="0" applyBorder="0" applyAlignment="0" applyProtection="0"/>
    <xf numFmtId="0" fontId="342" fillId="91" borderId="22" applyNumberFormat="0" applyAlignment="0" applyProtection="0"/>
    <xf numFmtId="0" fontId="342" fillId="91" borderId="22" applyNumberFormat="0" applyAlignment="0" applyProtection="0"/>
    <xf numFmtId="0" fontId="342" fillId="108" borderId="22" applyNumberFormat="0" applyAlignment="0" applyProtection="0"/>
    <xf numFmtId="0" fontId="330" fillId="91" borderId="15" applyNumberFormat="0" applyAlignment="0" applyProtection="0"/>
    <xf numFmtId="0" fontId="330" fillId="91" borderId="15" applyNumberFormat="0" applyAlignment="0" applyProtection="0"/>
    <xf numFmtId="0" fontId="330" fillId="108" borderId="15" applyNumberFormat="0" applyAlignment="0" applyProtection="0"/>
    <xf numFmtId="0" fontId="331" fillId="0" borderId="0" applyNumberFormat="0" applyFill="0" applyBorder="0" applyAlignment="0" applyProtection="0"/>
    <xf numFmtId="0" fontId="331" fillId="0" borderId="0" applyNumberFormat="0" applyFill="0" applyBorder="0" applyAlignment="0" applyProtection="0"/>
    <xf numFmtId="0" fontId="332" fillId="0" borderId="0" applyNumberFormat="0" applyFill="0" applyBorder="0" applyAlignment="0" applyProtection="0"/>
    <xf numFmtId="0" fontId="332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336" fillId="93" borderId="0" applyNumberFormat="0" applyBorder="0" applyAlignment="0" applyProtection="0"/>
    <xf numFmtId="0" fontId="336" fillId="93" borderId="0" applyNumberFormat="0" applyBorder="0" applyAlignment="0" applyProtection="0"/>
    <xf numFmtId="0" fontId="337" fillId="96" borderId="15" applyNumberFormat="0" applyAlignment="0" applyProtection="0"/>
    <xf numFmtId="0" fontId="337" fillId="96" borderId="15" applyNumberFormat="0" applyAlignment="0" applyProtection="0"/>
    <xf numFmtId="0" fontId="337" fillId="96" borderId="15" applyNumberFormat="0" applyAlignment="0" applyProtection="0"/>
    <xf numFmtId="0" fontId="338" fillId="109" borderId="0" applyNumberFormat="0" applyBorder="0" applyAlignment="0" applyProtection="0"/>
    <xf numFmtId="0" fontId="338" fillId="109" borderId="0" applyNumberFormat="0" applyBorder="0" applyAlignment="0" applyProtection="0"/>
    <xf numFmtId="0" fontId="339" fillId="0" borderId="23" applyNumberFormat="0" applyFill="0" applyAlignment="0" applyProtection="0"/>
    <xf numFmtId="0" fontId="339" fillId="0" borderId="23" applyNumberFormat="0" applyFill="0" applyAlignment="0" applyProtection="0"/>
    <xf numFmtId="0" fontId="329" fillId="110" borderId="0" applyNumberFormat="0" applyBorder="0" applyAlignment="0" applyProtection="0"/>
    <xf numFmtId="0" fontId="329" fillId="110" borderId="0" applyNumberFormat="0" applyBorder="0" applyAlignment="0" applyProtection="0"/>
    <xf numFmtId="0" fontId="329" fillId="110" borderId="0" applyNumberFormat="0" applyBorder="0" applyAlignment="0" applyProtection="0"/>
    <xf numFmtId="0" fontId="329" fillId="111" borderId="0" applyNumberFormat="0" applyBorder="0" applyAlignment="0" applyProtection="0"/>
    <xf numFmtId="0" fontId="329" fillId="111" borderId="0" applyNumberFormat="0" applyBorder="0" applyAlignment="0" applyProtection="0"/>
    <xf numFmtId="0" fontId="329" fillId="112" borderId="0" applyNumberFormat="0" applyBorder="0" applyAlignment="0" applyProtection="0"/>
    <xf numFmtId="0" fontId="329" fillId="112" borderId="0" applyNumberFormat="0" applyBorder="0" applyAlignment="0" applyProtection="0"/>
    <xf numFmtId="0" fontId="329" fillId="113" borderId="0" applyNumberFormat="0" applyBorder="0" applyAlignment="0" applyProtection="0"/>
    <xf numFmtId="0" fontId="329" fillId="103" borderId="0" applyNumberFormat="0" applyBorder="0" applyAlignment="0" applyProtection="0"/>
    <xf numFmtId="0" fontId="329" fillId="103" borderId="0" applyNumberFormat="0" applyBorder="0" applyAlignment="0" applyProtection="0"/>
    <xf numFmtId="0" fontId="329" fillId="103" borderId="0" applyNumberFormat="0" applyBorder="0" applyAlignment="0" applyProtection="0"/>
    <xf numFmtId="0" fontId="329" fillId="104" borderId="0" applyNumberFormat="0" applyBorder="0" applyAlignment="0" applyProtection="0"/>
    <xf numFmtId="0" fontId="329" fillId="104" borderId="0" applyNumberFormat="0" applyBorder="0" applyAlignment="0" applyProtection="0"/>
    <xf numFmtId="0" fontId="329" fillId="114" borderId="0" applyNumberFormat="0" applyBorder="0" applyAlignment="0" applyProtection="0"/>
    <xf numFmtId="0" fontId="329" fillId="114" borderId="0" applyNumberFormat="0" applyBorder="0" applyAlignment="0" applyProtection="0"/>
    <xf numFmtId="0" fontId="329" fillId="114" borderId="0" applyNumberFormat="0" applyBorder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43" applyNumberFormat="0" applyAlignment="0" applyProtection="0"/>
    <xf numFmtId="0" fontId="22" fillId="115" borderId="21" applyNumberFormat="0" applyAlignment="0" applyProtection="0"/>
    <xf numFmtId="0" fontId="343" fillId="0" borderId="17" applyNumberFormat="0" applyFill="0" applyAlignment="0" applyProtection="0"/>
    <xf numFmtId="0" fontId="343" fillId="0" borderId="17" applyNumberFormat="0" applyFill="0" applyAlignment="0" applyProtection="0"/>
    <xf numFmtId="0" fontId="344" fillId="0" borderId="17" applyNumberFormat="0" applyFill="0" applyAlignment="0" applyProtection="0"/>
    <xf numFmtId="0" fontId="345" fillId="0" borderId="44" applyNumberFormat="0" applyFill="0" applyAlignment="0" applyProtection="0"/>
    <xf numFmtId="0" fontId="345" fillId="0" borderId="44" applyNumberFormat="0" applyFill="0" applyAlignment="0" applyProtection="0"/>
    <xf numFmtId="0" fontId="346" fillId="0" borderId="18" applyNumberFormat="0" applyFill="0" applyAlignment="0" applyProtection="0"/>
    <xf numFmtId="0" fontId="347" fillId="0" borderId="19" applyNumberFormat="0" applyFill="0" applyAlignment="0" applyProtection="0"/>
    <xf numFmtId="0" fontId="347" fillId="0" borderId="19" applyNumberFormat="0" applyFill="0" applyAlignment="0" applyProtection="0"/>
    <xf numFmtId="0" fontId="348" fillId="0" borderId="19" applyNumberFormat="0" applyFill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322" fillId="0" borderId="0"/>
    <xf numFmtId="166" fontId="3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3" fillId="0" borderId="0"/>
    <xf numFmtId="0" fontId="3" fillId="0" borderId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3" fillId="0" borderId="0"/>
    <xf numFmtId="0" fontId="3" fillId="0" borderId="0"/>
    <xf numFmtId="166" fontId="242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7" borderId="0" applyNumberFormat="0" applyBorder="0" applyAlignment="0" applyProtection="0"/>
    <xf numFmtId="0" fontId="21" fillId="50" borderId="0" applyNumberFormat="0" applyBorder="0" applyAlignment="0" applyProtection="0"/>
    <xf numFmtId="0" fontId="236" fillId="51" borderId="0" applyNumberFormat="0" applyBorder="0" applyAlignment="0" applyProtection="0"/>
    <xf numFmtId="0" fontId="236" fillId="48" borderId="0" applyNumberFormat="0" applyBorder="0" applyAlignment="0" applyProtection="0"/>
    <xf numFmtId="0" fontId="236" fillId="49" borderId="0" applyNumberFormat="0" applyBorder="0" applyAlignment="0" applyProtection="0"/>
    <xf numFmtId="0" fontId="236" fillId="52" borderId="0" applyNumberFormat="0" applyBorder="0" applyAlignment="0" applyProtection="0"/>
    <xf numFmtId="0" fontId="236" fillId="53" borderId="0" applyNumberFormat="0" applyBorder="0" applyAlignment="0" applyProtection="0"/>
    <xf numFmtId="0" fontId="236" fillId="54" borderId="0" applyNumberFormat="0" applyBorder="0" applyAlignment="0" applyProtection="0"/>
    <xf numFmtId="0" fontId="236" fillId="55" borderId="0" applyNumberFormat="0" applyBorder="0" applyAlignment="0" applyProtection="0"/>
    <xf numFmtId="0" fontId="236" fillId="56" borderId="0" applyNumberFormat="0" applyBorder="0" applyAlignment="0" applyProtection="0"/>
    <xf numFmtId="0" fontId="236" fillId="57" borderId="0" applyNumberFormat="0" applyBorder="0" applyAlignment="0" applyProtection="0"/>
    <xf numFmtId="0" fontId="236" fillId="52" borderId="0" applyNumberFormat="0" applyBorder="0" applyAlignment="0" applyProtection="0"/>
    <xf numFmtId="0" fontId="236" fillId="53" borderId="0" applyNumberFormat="0" applyBorder="0" applyAlignment="0" applyProtection="0"/>
    <xf numFmtId="0" fontId="236" fillId="58" borderId="0" applyNumberFormat="0" applyBorder="0" applyAlignment="0" applyProtection="0"/>
    <xf numFmtId="0" fontId="226" fillId="42" borderId="0" applyNumberFormat="0" applyBorder="0" applyAlignment="0" applyProtection="0"/>
    <xf numFmtId="0" fontId="230" fillId="59" borderId="15" applyNumberFormat="0" applyAlignment="0" applyProtection="0"/>
    <xf numFmtId="0" fontId="232" fillId="60" borderId="16" applyNumberFormat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225" fillId="43" borderId="0" applyNumberFormat="0" applyBorder="0" applyAlignment="0" applyProtection="0"/>
    <xf numFmtId="0" fontId="222" fillId="0" borderId="17" applyNumberFormat="0" applyFill="0" applyAlignment="0" applyProtection="0"/>
    <xf numFmtId="0" fontId="223" fillId="0" borderId="18" applyNumberFormat="0" applyFill="0" applyAlignment="0" applyProtection="0"/>
    <xf numFmtId="0" fontId="224" fillId="0" borderId="19" applyNumberFormat="0" applyFill="0" applyAlignment="0" applyProtection="0"/>
    <xf numFmtId="0" fontId="224" fillId="0" borderId="0" applyNumberFormat="0" applyFill="0" applyBorder="0" applyAlignment="0" applyProtection="0"/>
    <xf numFmtId="0" fontId="228" fillId="46" borderId="15" applyNumberFormat="0" applyAlignment="0" applyProtection="0"/>
    <xf numFmtId="0" fontId="231" fillId="0" borderId="20" applyNumberFormat="0" applyFill="0" applyAlignment="0" applyProtection="0"/>
    <xf numFmtId="0" fontId="227" fillId="61" borderId="0" applyNumberFormat="0" applyBorder="0" applyAlignment="0" applyProtection="0"/>
    <xf numFmtId="0" fontId="174" fillId="0" borderId="0"/>
    <xf numFmtId="0" fontId="42" fillId="0" borderId="0"/>
    <xf numFmtId="0" fontId="42" fillId="0" borderId="0"/>
    <xf numFmtId="0" fontId="41" fillId="0" borderId="0"/>
    <xf numFmtId="0" fontId="174" fillId="62" borderId="21" applyNumberFormat="0" applyFont="0" applyAlignment="0" applyProtection="0"/>
    <xf numFmtId="0" fontId="229" fillId="59" borderId="22" applyNumberFormat="0" applyAlignment="0" applyProtection="0"/>
    <xf numFmtId="0" fontId="237" fillId="0" borderId="0" applyNumberFormat="0" applyFill="0" applyBorder="0" applyAlignment="0" applyProtection="0"/>
    <xf numFmtId="0" fontId="235" fillId="0" borderId="23" applyNumberFormat="0" applyFill="0" applyAlignment="0" applyProtection="0"/>
    <xf numFmtId="0" fontId="233" fillId="0" borderId="0" applyNumberFormat="0" applyFill="0" applyBorder="0" applyAlignment="0" applyProtection="0"/>
    <xf numFmtId="0" fontId="4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9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41" fillId="0" borderId="10" applyNumberFormat="0" applyFont="0" applyFill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46" fillId="0" borderId="0"/>
    <xf numFmtId="0" fontId="261" fillId="73" borderId="0" applyNumberFormat="0" applyBorder="0" applyAlignment="0" applyProtection="0"/>
    <xf numFmtId="0" fontId="261" fillId="61" borderId="0" applyNumberFormat="0" applyBorder="0" applyAlignment="0" applyProtection="0"/>
    <xf numFmtId="0" fontId="261" fillId="73" borderId="0" applyNumberFormat="0" applyBorder="0" applyAlignment="0" applyProtection="0"/>
    <xf numFmtId="0" fontId="261" fillId="45" borderId="0" applyNumberFormat="0" applyBorder="0" applyAlignment="0" applyProtection="0"/>
    <xf numFmtId="0" fontId="261" fillId="62" borderId="0" applyNumberFormat="0" applyBorder="0" applyAlignment="0" applyProtection="0"/>
    <xf numFmtId="0" fontId="242" fillId="41" borderId="0" applyNumberFormat="0" applyBorder="0" applyAlignment="0" applyProtection="0"/>
    <xf numFmtId="0" fontId="242" fillId="42" borderId="0" applyNumberFormat="0" applyBorder="0" applyAlignment="0" applyProtection="0"/>
    <xf numFmtId="0" fontId="242" fillId="43" borderId="0" applyNumberFormat="0" applyBorder="0" applyAlignment="0" applyProtection="0"/>
    <xf numFmtId="0" fontId="242" fillId="44" borderId="0" applyNumberFormat="0" applyBorder="0" applyAlignment="0" applyProtection="0"/>
    <xf numFmtId="0" fontId="242" fillId="45" borderId="0" applyNumberFormat="0" applyBorder="0" applyAlignment="0" applyProtection="0"/>
    <xf numFmtId="0" fontId="242" fillId="46" borderId="0" applyNumberFormat="0" applyBorder="0" applyAlignment="0" applyProtection="0"/>
    <xf numFmtId="0" fontId="261" fillId="59" borderId="0" applyNumberFormat="0" applyBorder="0" applyAlignment="0" applyProtection="0"/>
    <xf numFmtId="0" fontId="261" fillId="59" borderId="0" applyNumberFormat="0" applyBorder="0" applyAlignment="0" applyProtection="0"/>
    <xf numFmtId="0" fontId="261" fillId="47" borderId="0" applyNumberFormat="0" applyBorder="0" applyAlignment="0" applyProtection="0"/>
    <xf numFmtId="0" fontId="242" fillId="47" borderId="0" applyNumberFormat="0" applyBorder="0" applyAlignment="0" applyProtection="0"/>
    <xf numFmtId="0" fontId="242" fillId="48" borderId="0" applyNumberFormat="0" applyBorder="0" applyAlignment="0" applyProtection="0"/>
    <xf numFmtId="0" fontId="242" fillId="49" borderId="0" applyNumberFormat="0" applyBorder="0" applyAlignment="0" applyProtection="0"/>
    <xf numFmtId="0" fontId="242" fillId="44" borderId="0" applyNumberFormat="0" applyBorder="0" applyAlignment="0" applyProtection="0"/>
    <xf numFmtId="0" fontId="242" fillId="47" borderId="0" applyNumberFormat="0" applyBorder="0" applyAlignment="0" applyProtection="0"/>
    <xf numFmtId="0" fontId="242" fillId="50" borderId="0" applyNumberFormat="0" applyBorder="0" applyAlignment="0" applyProtection="0"/>
    <xf numFmtId="0" fontId="262" fillId="53" borderId="0" applyNumberFormat="0" applyBorder="0" applyAlignment="0" applyProtection="0"/>
    <xf numFmtId="0" fontId="262" fillId="59" borderId="0" applyNumberFormat="0" applyBorder="0" applyAlignment="0" applyProtection="0"/>
    <xf numFmtId="0" fontId="262" fillId="53" borderId="0" applyNumberFormat="0" applyBorder="0" applyAlignment="0" applyProtection="0"/>
    <xf numFmtId="0" fontId="243" fillId="51" borderId="0" applyNumberFormat="0" applyBorder="0" applyAlignment="0" applyProtection="0"/>
    <xf numFmtId="0" fontId="243" fillId="48" borderId="0" applyNumberFormat="0" applyBorder="0" applyAlignment="0" applyProtection="0"/>
    <xf numFmtId="0" fontId="243" fillId="49" borderId="0" applyNumberFormat="0" applyBorder="0" applyAlignment="0" applyProtection="0"/>
    <xf numFmtId="0" fontId="243" fillId="52" borderId="0" applyNumberFormat="0" applyBorder="0" applyAlignment="0" applyProtection="0"/>
    <xf numFmtId="0" fontId="243" fillId="53" borderId="0" applyNumberFormat="0" applyBorder="0" applyAlignment="0" applyProtection="0"/>
    <xf numFmtId="0" fontId="243" fillId="54" borderId="0" applyNumberFormat="0" applyBorder="0" applyAlignment="0" applyProtection="0"/>
    <xf numFmtId="0" fontId="264" fillId="73" borderId="15" applyNumberFormat="0" applyAlignment="0" applyProtection="0"/>
    <xf numFmtId="166" fontId="50" fillId="0" borderId="0" applyFont="0" applyFill="0" applyBorder="0" applyAlignment="0" applyProtection="0"/>
    <xf numFmtId="219" fontId="22" fillId="0" borderId="0" applyFill="0" applyBorder="0" applyAlignment="0" applyProtection="0"/>
    <xf numFmtId="223" fontId="22" fillId="0" borderId="0" applyFill="0" applyBorder="0" applyAlignment="0" applyProtection="0"/>
    <xf numFmtId="220" fontId="41" fillId="0" borderId="0" applyFill="0" applyBorder="0" applyAlignment="0" applyProtection="0"/>
    <xf numFmtId="166" fontId="22" fillId="0" borderId="0" applyFont="0" applyFill="0" applyBorder="0" applyAlignment="0" applyProtection="0"/>
    <xf numFmtId="219" fontId="22" fillId="0" borderId="0" applyFill="0" applyBorder="0" applyAlignment="0" applyProtection="0"/>
    <xf numFmtId="219" fontId="22" fillId="0" borderId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3" fillId="0" borderId="0" applyFont="0" applyFill="0" applyBorder="0" applyAlignment="0" applyProtection="0"/>
    <xf numFmtId="219" fontId="22" fillId="0" borderId="0" applyFill="0" applyBorder="0" applyAlignment="0" applyProtection="0"/>
    <xf numFmtId="222" fontId="22" fillId="0" borderId="0" applyFill="0" applyBorder="0" applyAlignment="0" applyProtection="0"/>
    <xf numFmtId="0" fontId="269" fillId="0" borderId="18" applyNumberFormat="0" applyFill="0" applyAlignment="0" applyProtection="0"/>
    <xf numFmtId="0" fontId="270" fillId="0" borderId="35" applyNumberFormat="0" applyFill="0" applyAlignment="0" applyProtection="0"/>
    <xf numFmtId="0" fontId="145" fillId="46" borderId="15" applyNumberFormat="0" applyAlignment="0" applyProtection="0"/>
    <xf numFmtId="0" fontId="145" fillId="46" borderId="15" applyNumberFormat="0" applyAlignment="0" applyProtection="0"/>
    <xf numFmtId="0" fontId="273" fillId="61" borderId="0" applyNumberFormat="0" applyBorder="0" applyAlignment="0" applyProtection="0"/>
    <xf numFmtId="0" fontId="240" fillId="0" borderId="0"/>
    <xf numFmtId="0" fontId="241" fillId="0" borderId="0"/>
    <xf numFmtId="0" fontId="22" fillId="62" borderId="21" applyNumberFormat="0" applyFont="0" applyAlignment="0" applyProtection="0"/>
    <xf numFmtId="0" fontId="274" fillId="73" borderId="22" applyNumberFormat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166" fontId="41" fillId="0" borderId="0" applyFont="0" applyFill="0" applyBorder="0" applyAlignment="0" applyProtection="0"/>
    <xf numFmtId="0" fontId="244" fillId="0" borderId="0" applyNumberFormat="0" applyFill="0" applyBorder="0" applyAlignment="0" applyProtection="0">
      <alignment vertical="top"/>
      <protection locked="0"/>
    </xf>
    <xf numFmtId="0" fontId="245" fillId="60" borderId="16" applyNumberFormat="0" applyAlignment="0" applyProtection="0"/>
    <xf numFmtId="0" fontId="246" fillId="0" borderId="20" applyNumberFormat="0" applyFill="0" applyAlignment="0" applyProtection="0"/>
    <xf numFmtId="0" fontId="247" fillId="42" borderId="0" applyNumberFormat="0" applyBorder="0" applyAlignment="0" applyProtection="0"/>
    <xf numFmtId="0" fontId="248" fillId="59" borderId="22" applyNumberFormat="0" applyAlignment="0" applyProtection="0"/>
    <xf numFmtId="0" fontId="249" fillId="59" borderId="15" applyNumberFormat="0" applyAlignment="0" applyProtection="0"/>
    <xf numFmtId="0" fontId="250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253" fillId="43" borderId="0" applyNumberFormat="0" applyBorder="0" applyAlignment="0" applyProtection="0"/>
    <xf numFmtId="0" fontId="254" fillId="0" borderId="0" applyNumberFormat="0" applyFill="0" applyBorder="0" applyAlignment="0" applyProtection="0">
      <alignment vertical="top"/>
      <protection locked="0"/>
    </xf>
    <xf numFmtId="0" fontId="255" fillId="46" borderId="15" applyNumberFormat="0" applyAlignment="0" applyProtection="0"/>
    <xf numFmtId="0" fontId="256" fillId="61" borderId="0" applyNumberFormat="0" applyBorder="0" applyAlignment="0" applyProtection="0"/>
    <xf numFmtId="0" fontId="257" fillId="0" borderId="23" applyNumberFormat="0" applyFill="0" applyAlignment="0" applyProtection="0"/>
    <xf numFmtId="0" fontId="243" fillId="55" borderId="0" applyNumberFormat="0" applyBorder="0" applyAlignment="0" applyProtection="0"/>
    <xf numFmtId="0" fontId="243" fillId="56" borderId="0" applyNumberFormat="0" applyBorder="0" applyAlignment="0" applyProtection="0"/>
    <xf numFmtId="0" fontId="243" fillId="57" borderId="0" applyNumberFormat="0" applyBorder="0" applyAlignment="0" applyProtection="0"/>
    <xf numFmtId="0" fontId="243" fillId="52" borderId="0" applyNumberFormat="0" applyBorder="0" applyAlignment="0" applyProtection="0"/>
    <xf numFmtId="0" fontId="243" fillId="53" borderId="0" applyNumberFormat="0" applyBorder="0" applyAlignment="0" applyProtection="0"/>
    <xf numFmtId="0" fontId="243" fillId="58" borderId="0" applyNumberFormat="0" applyBorder="0" applyAlignment="0" applyProtection="0"/>
    <xf numFmtId="0" fontId="41" fillId="62" borderId="21" applyNumberFormat="0" applyFont="0" applyAlignment="0" applyProtection="0"/>
    <xf numFmtId="0" fontId="258" fillId="0" borderId="17" applyNumberFormat="0" applyFill="0" applyAlignment="0" applyProtection="0"/>
    <xf numFmtId="0" fontId="259" fillId="0" borderId="18" applyNumberFormat="0" applyFill="0" applyAlignment="0" applyProtection="0"/>
    <xf numFmtId="0" fontId="260" fillId="0" borderId="19" applyNumberFormat="0" applyFill="0" applyAlignment="0" applyProtection="0"/>
    <xf numFmtId="0" fontId="260" fillId="0" borderId="0" applyNumberFormat="0" applyFill="0" applyBorder="0" applyAlignment="0" applyProtection="0"/>
    <xf numFmtId="224" fontId="41" fillId="0" borderId="0" applyFont="0" applyFill="0" applyBorder="0" applyAlignment="0" applyProtection="0"/>
    <xf numFmtId="224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1" fillId="0" borderId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/>
    <xf numFmtId="219" fontId="22" fillId="0" borderId="0" applyFill="0" applyBorder="0" applyAlignment="0" applyProtection="0"/>
    <xf numFmtId="166" fontId="124" fillId="0" borderId="0" applyFont="0" applyFill="0" applyBorder="0" applyAlignment="0" applyProtection="0"/>
    <xf numFmtId="1" fontId="41" fillId="0" borderId="10" applyNumberFormat="0" applyFill="0" applyAlignment="0" applyProtection="0">
      <alignment horizontal="center" vertical="center"/>
    </xf>
    <xf numFmtId="0" fontId="41" fillId="0" borderId="0"/>
    <xf numFmtId="0" fontId="1" fillId="0" borderId="0"/>
    <xf numFmtId="166" fontId="22" fillId="0" borderId="0" applyFont="0" applyFill="0" applyBorder="0" applyAlignment="0" applyProtection="0"/>
    <xf numFmtId="0" fontId="2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1" fillId="0" borderId="0"/>
    <xf numFmtId="166" fontId="50" fillId="0" borderId="0" applyFont="0" applyFill="0" applyBorder="0" applyAlignment="0" applyProtection="0"/>
    <xf numFmtId="0" fontId="240" fillId="0" borderId="0"/>
    <xf numFmtId="0" fontId="1" fillId="0" borderId="0"/>
    <xf numFmtId="166" fontId="1" fillId="0" borderId="0" applyFont="0" applyFill="0" applyBorder="0" applyAlignment="0" applyProtection="0"/>
    <xf numFmtId="0" fontId="22" fillId="0" borderId="0"/>
    <xf numFmtId="219" fontId="22" fillId="0" borderId="0" applyFill="0" applyBorder="0" applyAlignment="0" applyProtection="0"/>
    <xf numFmtId="0" fontId="4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3" fillId="0" borderId="0" applyFont="0" applyFill="0" applyBorder="0" applyAlignment="0" applyProtection="0"/>
    <xf numFmtId="166" fontId="41" fillId="0" borderId="0" applyFont="0" applyFill="0" applyBorder="0" applyAlignment="0" applyProtection="0"/>
    <xf numFmtId="219" fontId="22" fillId="0" borderId="0" applyFill="0" applyBorder="0" applyAlignment="0" applyProtection="0"/>
    <xf numFmtId="226" fontId="124" fillId="0" borderId="0" applyBorder="0" applyProtection="0"/>
    <xf numFmtId="219" fontId="22" fillId="0" borderId="0" applyFill="0" applyBorder="0" applyAlignment="0" applyProtection="0"/>
    <xf numFmtId="0" fontId="22" fillId="0" borderId="0"/>
    <xf numFmtId="166" fontId="41" fillId="0" borderId="0" applyFont="0" applyFill="0" applyBorder="0" applyAlignment="0" applyProtection="0"/>
    <xf numFmtId="0" fontId="124" fillId="0" borderId="0"/>
    <xf numFmtId="4" fontId="287" fillId="86" borderId="37" applyNumberFormat="0" applyProtection="0">
      <alignment horizontal="left" vertical="center" indent="1"/>
    </xf>
    <xf numFmtId="0" fontId="240" fillId="0" borderId="0"/>
    <xf numFmtId="220" fontId="41" fillId="0" borderId="0" applyFill="0" applyBorder="0" applyAlignment="0" applyProtection="0"/>
    <xf numFmtId="0" fontId="261" fillId="0" borderId="0"/>
    <xf numFmtId="219" fontId="22" fillId="0" borderId="0" applyFill="0" applyBorder="0" applyAlignment="0" applyProtection="0"/>
    <xf numFmtId="0" fontId="3" fillId="0" borderId="0"/>
    <xf numFmtId="0" fontId="282" fillId="0" borderId="0"/>
    <xf numFmtId="0" fontId="294" fillId="0" borderId="0"/>
    <xf numFmtId="0" fontId="41" fillId="0" borderId="0"/>
    <xf numFmtId="0" fontId="3" fillId="0" borderId="0"/>
    <xf numFmtId="0" fontId="46" fillId="0" borderId="0"/>
    <xf numFmtId="166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/>
    <xf numFmtId="166" fontId="50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41" fillId="0" borderId="0" applyFont="0" applyFill="0" applyBorder="0" applyAlignment="0" applyProtection="0"/>
    <xf numFmtId="0" fontId="3" fillId="0" borderId="0"/>
    <xf numFmtId="0" fontId="3" fillId="0" borderId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0" borderId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105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166" fontId="4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43" fillId="0" borderId="0"/>
    <xf numFmtId="0" fontId="22" fillId="62" borderId="21" applyNumberFormat="0" applyFont="0" applyAlignment="0" applyProtection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42" fillId="0" borderId="0" applyFont="0" applyFill="0" applyBorder="0" applyAlignment="0" applyProtection="0"/>
    <xf numFmtId="0" fontId="3" fillId="0" borderId="0"/>
    <xf numFmtId="0" fontId="3" fillId="0" borderId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41" fillId="0" borderId="0"/>
    <xf numFmtId="166" fontId="4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1" fillId="0" borderId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22" fillId="0" borderId="0"/>
    <xf numFmtId="0" fontId="3" fillId="0" borderId="0"/>
    <xf numFmtId="0" fontId="22" fillId="0" borderId="0"/>
    <xf numFmtId="0" fontId="41" fillId="88" borderId="22" applyNumberFormat="0" applyProtection="0">
      <alignment horizontal="left" vertical="center" indent="1"/>
    </xf>
    <xf numFmtId="0" fontId="73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22" fillId="62" borderId="21" applyNumberFormat="0" applyFont="0" applyAlignment="0" applyProtection="0"/>
    <xf numFmtId="166" fontId="3" fillId="0" borderId="0" applyFont="0" applyFill="0" applyBorder="0" applyAlignment="0" applyProtection="0"/>
    <xf numFmtId="0" fontId="3" fillId="0" borderId="0"/>
    <xf numFmtId="166" fontId="22" fillId="0" borderId="0"/>
    <xf numFmtId="166" fontId="22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0" fontId="43" fillId="0" borderId="0"/>
    <xf numFmtId="166" fontId="43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0" fontId="3" fillId="0" borderId="0"/>
    <xf numFmtId="0" fontId="22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166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24" fillId="0" borderId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22" fillId="0" borderId="0"/>
    <xf numFmtId="166" fontId="22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2" fillId="49" borderId="0" applyNumberFormat="0" applyBorder="0" applyAlignment="0" applyProtection="0"/>
    <xf numFmtId="166" fontId="22" fillId="0" borderId="0" applyFont="0" applyFill="0" applyBorder="0" applyAlignment="0" applyProtection="0"/>
    <xf numFmtId="0" fontId="325" fillId="0" borderId="0" applyNumberFormat="0" applyFill="0" applyBorder="0" applyAlignment="0" applyProtection="0"/>
    <xf numFmtId="0" fontId="270" fillId="0" borderId="42" applyNumberFormat="0" applyFill="0" applyAlignment="0" applyProtection="0"/>
    <xf numFmtId="0" fontId="269" fillId="0" borderId="41" applyNumberFormat="0" applyFill="0" applyAlignment="0" applyProtection="0"/>
    <xf numFmtId="0" fontId="324" fillId="0" borderId="18" applyNumberFormat="0" applyFill="0" applyAlignment="0" applyProtection="0"/>
    <xf numFmtId="0" fontId="323" fillId="0" borderId="17" applyNumberFormat="0" applyFill="0" applyAlignment="0" applyProtection="0"/>
    <xf numFmtId="0" fontId="267" fillId="43" borderId="0" applyNumberFormat="0" applyBorder="0" applyAlignment="0" applyProtection="0"/>
    <xf numFmtId="0" fontId="266" fillId="0" borderId="0" applyNumberFormat="0" applyFill="0" applyBorder="0" applyAlignment="0" applyProtection="0"/>
    <xf numFmtId="189" fontId="4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8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8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20" fontId="240" fillId="0" borderId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265" fillId="60" borderId="16" applyNumberFormat="0" applyAlignment="0" applyProtection="0"/>
    <xf numFmtId="0" fontId="264" fillId="89" borderId="15" applyNumberFormat="0" applyAlignment="0" applyProtection="0"/>
    <xf numFmtId="0" fontId="264" fillId="59" borderId="15" applyNumberFormat="0" applyAlignment="0" applyProtection="0"/>
    <xf numFmtId="0" fontId="263" fillId="42" borderId="0" applyNumberFormat="0" applyBorder="0" applyAlignment="0" applyProtection="0"/>
    <xf numFmtId="0" fontId="262" fillId="53" borderId="0" applyNumberFormat="0" applyBorder="0" applyAlignment="0" applyProtection="0"/>
    <xf numFmtId="0" fontId="262" fillId="52" borderId="0" applyNumberFormat="0" applyBorder="0" applyAlignment="0" applyProtection="0"/>
    <xf numFmtId="0" fontId="262" fillId="57" borderId="0" applyNumberFormat="0" applyBorder="0" applyAlignment="0" applyProtection="0"/>
    <xf numFmtId="0" fontId="262" fillId="55" borderId="0" applyNumberFormat="0" applyBorder="0" applyAlignment="0" applyProtection="0"/>
    <xf numFmtId="0" fontId="262" fillId="54" borderId="0" applyNumberFormat="0" applyBorder="0" applyAlignment="0" applyProtection="0"/>
    <xf numFmtId="0" fontId="262" fillId="49" borderId="0" applyNumberFormat="0" applyBorder="0" applyAlignment="0" applyProtection="0"/>
    <xf numFmtId="0" fontId="262" fillId="53" borderId="0" applyNumberFormat="0" applyBorder="0" applyAlignment="0" applyProtection="0"/>
    <xf numFmtId="0" fontId="262" fillId="48" borderId="0" applyNumberFormat="0" applyBorder="0" applyAlignment="0" applyProtection="0"/>
    <xf numFmtId="0" fontId="262" fillId="49" borderId="0" applyNumberFormat="0" applyBorder="0" applyAlignment="0" applyProtection="0"/>
    <xf numFmtId="0" fontId="262" fillId="51" borderId="0" applyNumberFormat="0" applyBorder="0" applyAlignment="0" applyProtection="0"/>
    <xf numFmtId="0" fontId="3" fillId="0" borderId="0"/>
    <xf numFmtId="0" fontId="3" fillId="0" borderId="0"/>
    <xf numFmtId="0" fontId="261" fillId="50" borderId="0" applyNumberFormat="0" applyBorder="0" applyAlignment="0" applyProtection="0"/>
    <xf numFmtId="0" fontId="261" fillId="49" borderId="0" applyNumberFormat="0" applyBorder="0" applyAlignment="0" applyProtection="0"/>
    <xf numFmtId="0" fontId="261" fillId="47" borderId="0" applyNumberFormat="0" applyBorder="0" applyAlignment="0" applyProtection="0"/>
    <xf numFmtId="0" fontId="261" fillId="89" borderId="0" applyNumberFormat="0" applyBorder="0" applyAlignment="0" applyProtection="0"/>
    <xf numFmtId="0" fontId="261" fillId="45" borderId="0" applyNumberFormat="0" applyBorder="0" applyAlignment="0" applyProtection="0"/>
    <xf numFmtId="0" fontId="261" fillId="89" borderId="0" applyNumberFormat="0" applyBorder="0" applyAlignment="0" applyProtection="0"/>
    <xf numFmtId="0" fontId="261" fillId="44" borderId="0" applyNumberFormat="0" applyBorder="0" applyAlignment="0" applyProtection="0"/>
    <xf numFmtId="0" fontId="261" fillId="62" borderId="0" applyNumberFormat="0" applyBorder="0" applyAlignment="0" applyProtection="0"/>
    <xf numFmtId="0" fontId="261" fillId="43" borderId="0" applyNumberFormat="0" applyBorder="0" applyAlignment="0" applyProtection="0"/>
    <xf numFmtId="0" fontId="42" fillId="0" borderId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261" fillId="49" borderId="0" applyNumberFormat="0" applyBorder="0" applyAlignment="0" applyProtection="0"/>
    <xf numFmtId="166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261" fillId="42" borderId="0" applyNumberFormat="0" applyBorder="0" applyAlignment="0" applyProtection="0"/>
    <xf numFmtId="0" fontId="261" fillId="49" borderId="0" applyNumberFormat="0" applyBorder="0" applyAlignment="0" applyProtection="0"/>
    <xf numFmtId="0" fontId="261" fillId="48" borderId="0" applyNumberFormat="0" applyBorder="0" applyAlignment="0" applyProtection="0"/>
    <xf numFmtId="0" fontId="261" fillId="47" borderId="0" applyNumberFormat="0" applyBorder="0" applyAlignment="0" applyProtection="0"/>
    <xf numFmtId="0" fontId="3" fillId="0" borderId="0"/>
    <xf numFmtId="0" fontId="3" fillId="0" borderId="0"/>
    <xf numFmtId="0" fontId="261" fillId="44" borderId="0" applyNumberFormat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5" fillId="0" borderId="19" applyNumberFormat="0" applyFill="0" applyAlignment="0" applyProtection="0"/>
    <xf numFmtId="0" fontId="261" fillId="49" borderId="0" applyNumberFormat="0" applyBorder="0" applyAlignment="0" applyProtection="0"/>
    <xf numFmtId="166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220" fontId="240" fillId="0" borderId="0" applyFill="0" applyBorder="0" applyAlignment="0" applyProtection="0"/>
    <xf numFmtId="0" fontId="262" fillId="58" borderId="0" applyNumberFormat="0" applyBorder="0" applyAlignment="0" applyProtection="0"/>
    <xf numFmtId="0" fontId="262" fillId="56" borderId="0" applyNumberFormat="0" applyBorder="0" applyAlignment="0" applyProtection="0"/>
    <xf numFmtId="0" fontId="262" fillId="52" borderId="0" applyNumberFormat="0" applyBorder="0" applyAlignment="0" applyProtection="0"/>
    <xf numFmtId="0" fontId="262" fillId="49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22" fillId="0" borderId="0"/>
    <xf numFmtId="166" fontId="22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1" fillId="4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3" fillId="0" borderId="0"/>
    <xf numFmtId="0" fontId="3" fillId="0" borderId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166" fontId="1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61" fillId="46" borderId="0" applyNumberFormat="0" applyBorder="0" applyAlignment="0" applyProtection="0"/>
    <xf numFmtId="166" fontId="22" fillId="0" borderId="0" applyFont="0" applyFill="0" applyBorder="0" applyAlignment="0" applyProtection="0"/>
    <xf numFmtId="166" fontId="24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261" fillId="46" borderId="0" applyNumberFormat="0" applyBorder="0" applyAlignment="0" applyProtection="0"/>
    <xf numFmtId="166" fontId="22" fillId="0" borderId="0" applyFont="0" applyFill="0" applyBorder="0" applyAlignment="0" applyProtection="0"/>
    <xf numFmtId="0" fontId="261" fillId="49" borderId="0" applyNumberFormat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71" fillId="46" borderId="15" applyNumberFormat="0" applyAlignment="0" applyProtection="0"/>
    <xf numFmtId="0" fontId="228" fillId="46" borderId="15" applyNumberFormat="0" applyAlignment="0" applyProtection="0"/>
    <xf numFmtId="0" fontId="271" fillId="46" borderId="15" applyNumberFormat="0" applyAlignment="0" applyProtection="0"/>
    <xf numFmtId="0" fontId="272" fillId="0" borderId="20" applyNumberFormat="0" applyFill="0" applyAlignment="0" applyProtection="0"/>
    <xf numFmtId="0" fontId="273" fillId="61" borderId="0" applyNumberFormat="0" applyBorder="0" applyAlignment="0" applyProtection="0"/>
    <xf numFmtId="0" fontId="227" fillId="61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240" fillId="0" borderId="0"/>
    <xf numFmtId="0" fontId="21" fillId="0" borderId="0"/>
    <xf numFmtId="0" fontId="21" fillId="0" borderId="0"/>
    <xf numFmtId="0" fontId="349" fillId="0" borderId="0"/>
    <xf numFmtId="0" fontId="41" fillId="0" borderId="0"/>
    <xf numFmtId="0" fontId="240" fillId="0" borderId="0"/>
    <xf numFmtId="0" fontId="22" fillId="0" borderId="0"/>
    <xf numFmtId="0" fontId="17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1" fillId="0" borderId="0"/>
    <xf numFmtId="0" fontId="41" fillId="0" borderId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0" fillId="0" borderId="0"/>
    <xf numFmtId="0" fontId="21" fillId="0" borderId="0"/>
    <xf numFmtId="0" fontId="50" fillId="0" borderId="0"/>
    <xf numFmtId="0" fontId="41" fillId="0" borderId="0"/>
    <xf numFmtId="0" fontId="50" fillId="0" borderId="0"/>
    <xf numFmtId="0" fontId="326" fillId="62" borderId="21" applyNumberFormat="0" applyFont="0" applyAlignment="0" applyProtection="0"/>
    <xf numFmtId="0" fontId="261" fillId="62" borderId="21" applyNumberFormat="0" applyFont="0" applyAlignment="0" applyProtection="0"/>
    <xf numFmtId="0" fontId="274" fillId="59" borderId="22" applyNumberFormat="0" applyAlignment="0" applyProtection="0"/>
    <xf numFmtId="0" fontId="274" fillId="89" borderId="22" applyNumberFormat="0" applyAlignment="0" applyProtection="0"/>
    <xf numFmtId="9" fontId="2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40" fillId="0" borderId="0" applyFill="0" applyBorder="0" applyAlignment="0" applyProtection="0"/>
    <xf numFmtId="9" fontId="41" fillId="0" borderId="0" applyFont="0" applyFill="0" applyBorder="0" applyAlignment="0" applyProtection="0"/>
    <xf numFmtId="9" fontId="350" fillId="0" borderId="0" applyFill="0" applyBorder="0" applyAlignment="0" applyProtection="0"/>
    <xf numFmtId="9" fontId="46" fillId="0" borderId="0" applyFont="0" applyFill="0" applyBorder="0" applyAlignment="0" applyProtection="0"/>
    <xf numFmtId="9" fontId="240" fillId="0" borderId="0" applyFill="0" applyBorder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40" fillId="0" borderId="0" applyFill="0" applyBorder="0" applyAlignment="0" applyProtection="0"/>
    <xf numFmtId="9" fontId="4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27" fillId="0" borderId="0" applyNumberFormat="0" applyFill="0" applyBorder="0" applyAlignment="0" applyProtection="0"/>
    <xf numFmtId="0" fontId="276" fillId="0" borderId="23" applyNumberFormat="0" applyFill="0" applyAlignment="0" applyProtection="0"/>
    <xf numFmtId="0" fontId="277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322" fillId="0" borderId="0"/>
    <xf numFmtId="166" fontId="3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00" fillId="0" borderId="0" applyNumberForma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" fontId="41" fillId="0" borderId="10" applyNumberFormat="0" applyFill="0" applyAlignment="0" applyProtection="0">
      <alignment horizontal="center" vertical="center"/>
    </xf>
    <xf numFmtId="0" fontId="22" fillId="0" borderId="0"/>
    <xf numFmtId="0" fontId="22" fillId="62" borderId="21" applyNumberFormat="0" applyFont="0" applyAlignment="0" applyProtection="0"/>
    <xf numFmtId="0" fontId="41" fillId="0" borderId="10" applyNumberFormat="0" applyFont="0" applyFill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0" fillId="0" borderId="0" applyNumberForma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/>
    <xf numFmtId="0" fontId="4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03" fillId="0" borderId="0" applyFont="0" applyFill="0" applyBorder="0" applyAlignment="0" applyProtection="0"/>
    <xf numFmtId="166" fontId="133" fillId="0" borderId="0" applyFont="0" applyFill="0" applyBorder="0" applyAlignment="0" applyProtection="0"/>
    <xf numFmtId="0" fontId="43" fillId="0" borderId="0"/>
    <xf numFmtId="0" fontId="43" fillId="0" borderId="0"/>
    <xf numFmtId="0" fontId="41" fillId="0" borderId="0"/>
    <xf numFmtId="166" fontId="3" fillId="0" borderId="0" applyFont="0" applyFill="0" applyBorder="0" applyAlignment="0" applyProtection="0"/>
    <xf numFmtId="0" fontId="4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2" fillId="0" borderId="0"/>
    <xf numFmtId="166" fontId="351" fillId="0" borderId="0" applyFont="0" applyFill="0" applyBorder="0" applyAlignment="0" applyProtection="0"/>
    <xf numFmtId="0" fontId="351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1" fillId="0" borderId="0"/>
    <xf numFmtId="0" fontId="41" fillId="0" borderId="0"/>
    <xf numFmtId="0" fontId="3" fillId="0" borderId="0"/>
    <xf numFmtId="0" fontId="22" fillId="0" borderId="0"/>
    <xf numFmtId="0" fontId="3" fillId="0" borderId="0"/>
    <xf numFmtId="166" fontId="133" fillId="0" borderId="0" applyFont="0" applyFill="0" applyBorder="0" applyAlignment="0" applyProtection="0"/>
    <xf numFmtId="0" fontId="3" fillId="0" borderId="0"/>
    <xf numFmtId="0" fontId="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169" fontId="352" fillId="0" borderId="0"/>
    <xf numFmtId="234" fontId="352" fillId="0" borderId="0"/>
    <xf numFmtId="235" fontId="352" fillId="0" borderId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9" fontId="3" fillId="0" borderId="0" applyFont="0" applyFill="0" applyBorder="0" applyAlignment="0" applyProtection="0"/>
    <xf numFmtId="0" fontId="298" fillId="0" borderId="0"/>
    <xf numFmtId="0" fontId="353" fillId="0" borderId="0"/>
    <xf numFmtId="0" fontId="353" fillId="0" borderId="0"/>
    <xf numFmtId="0" fontId="353" fillId="0" borderId="0"/>
    <xf numFmtId="0" fontId="354" fillId="0" borderId="0"/>
    <xf numFmtId="0" fontId="355" fillId="0" borderId="0"/>
    <xf numFmtId="0" fontId="356" fillId="0" borderId="0"/>
    <xf numFmtId="0" fontId="357" fillId="0" borderId="0"/>
    <xf numFmtId="0" fontId="299" fillId="0" borderId="0"/>
    <xf numFmtId="0" fontId="358" fillId="0" borderId="0"/>
    <xf numFmtId="0" fontId="298" fillId="0" borderId="0"/>
    <xf numFmtId="0" fontId="359" fillId="0" borderId="0"/>
    <xf numFmtId="0" fontId="360" fillId="0" borderId="0"/>
    <xf numFmtId="0" fontId="361" fillId="0" borderId="0"/>
    <xf numFmtId="0" fontId="362" fillId="0" borderId="0"/>
    <xf numFmtId="0" fontId="363" fillId="0" borderId="0"/>
    <xf numFmtId="0" fontId="364" fillId="0" borderId="0"/>
    <xf numFmtId="0" fontId="365" fillId="0" borderId="0"/>
    <xf numFmtId="0" fontId="298" fillId="0" borderId="0"/>
    <xf numFmtId="0" fontId="298" fillId="0" borderId="0"/>
    <xf numFmtId="0" fontId="299" fillId="0" borderId="0"/>
    <xf numFmtId="0" fontId="366" fillId="0" borderId="0"/>
    <xf numFmtId="166" fontId="10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" fillId="0" borderId="0"/>
    <xf numFmtId="0" fontId="42" fillId="0" borderId="0"/>
    <xf numFmtId="166" fontId="42" fillId="0" borderId="0" applyFont="0" applyFill="0" applyBorder="0" applyAlignment="0" applyProtection="0"/>
    <xf numFmtId="0" fontId="103" fillId="0" borderId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1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0" fontId="3" fillId="13" borderId="8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41" fillId="0" borderId="0"/>
    <xf numFmtId="0" fontId="43" fillId="0" borderId="0"/>
    <xf numFmtId="0" fontId="43" fillId="0" borderId="0"/>
    <xf numFmtId="166" fontId="43" fillId="0" borderId="0" applyFont="0" applyFill="0" applyBorder="0" applyAlignment="0" applyProtection="0"/>
    <xf numFmtId="0" fontId="43" fillId="0" borderId="0"/>
    <xf numFmtId="166" fontId="4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42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22" fillId="0" borderId="0"/>
    <xf numFmtId="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6" fontId="4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3" fillId="0" borderId="0"/>
    <xf numFmtId="166" fontId="41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99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2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" fillId="0" borderId="0"/>
    <xf numFmtId="166" fontId="50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4" fontId="102" fillId="0" borderId="0" applyFont="0" applyFill="0" applyBorder="0" applyAlignment="0" applyProtection="0"/>
    <xf numFmtId="0" fontId="174" fillId="0" borderId="0"/>
    <xf numFmtId="0" fontId="105" fillId="0" borderId="0"/>
    <xf numFmtId="166" fontId="21" fillId="0" borderId="0" applyFont="0" applyFill="0" applyBorder="0" applyAlignment="0" applyProtection="0"/>
    <xf numFmtId="0" fontId="105" fillId="0" borderId="0"/>
    <xf numFmtId="0" fontId="3" fillId="0" borderId="0"/>
    <xf numFmtId="0" fontId="242" fillId="0" borderId="0"/>
    <xf numFmtId="0" fontId="174" fillId="0" borderId="0"/>
    <xf numFmtId="0" fontId="105" fillId="0" borderId="0"/>
    <xf numFmtId="0" fontId="3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33" fillId="0" borderId="0" applyFont="0" applyFill="0" applyBorder="0" applyAlignment="0" applyProtection="0"/>
    <xf numFmtId="0" fontId="43" fillId="0" borderId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4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99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2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3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22" fillId="0" borderId="0"/>
    <xf numFmtId="166" fontId="22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43" fillId="0" borderId="0"/>
    <xf numFmtId="166" fontId="43" fillId="0" borderId="0" applyFont="0" applyFill="0" applyBorder="0" applyAlignment="0" applyProtection="0"/>
    <xf numFmtId="0" fontId="43" fillId="0" borderId="0"/>
    <xf numFmtId="0" fontId="105" fillId="0" borderId="0"/>
    <xf numFmtId="4" fontId="10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3" fillId="0" borderId="0"/>
    <xf numFmtId="0" fontId="1" fillId="0" borderId="0"/>
    <xf numFmtId="166" fontId="4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19" fillId="34" borderId="0" applyNumberFormat="0" applyBorder="0" applyAlignment="0" applyProtection="0"/>
    <xf numFmtId="0" fontId="9" fillId="8" borderId="0" applyNumberFormat="0" applyBorder="0" applyAlignment="0" applyProtection="0"/>
    <xf numFmtId="0" fontId="13" fillId="11" borderId="4" applyNumberFormat="0" applyAlignment="0" applyProtection="0"/>
    <xf numFmtId="0" fontId="15" fillId="12" borderId="7" applyNumberFormat="0" applyAlignment="0" applyProtection="0"/>
    <xf numFmtId="166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10" borderId="4" applyNumberFormat="0" applyAlignment="0" applyProtection="0"/>
    <xf numFmtId="0" fontId="14" fillId="0" borderId="6" applyNumberFormat="0" applyFill="0" applyAlignment="0" applyProtection="0"/>
    <xf numFmtId="0" fontId="10" fillId="9" borderId="0" applyNumberFormat="0" applyBorder="0" applyAlignment="0" applyProtection="0"/>
    <xf numFmtId="0" fontId="3" fillId="0" borderId="0"/>
    <xf numFmtId="0" fontId="1" fillId="13" borderId="8" applyNumberFormat="0" applyFont="0" applyAlignment="0" applyProtection="0"/>
    <xf numFmtId="0" fontId="12" fillId="11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4" fontId="102" fillId="0" borderId="0" applyFont="0" applyFill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02" fillId="0" borderId="0"/>
    <xf numFmtId="9" fontId="320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" fillId="33" borderId="0" applyNumberFormat="0" applyBorder="0" applyAlignment="0" applyProtection="0"/>
    <xf numFmtId="0" fontId="3" fillId="20" borderId="0" applyNumberFormat="0" applyBorder="0" applyAlignment="0" applyProtection="0"/>
    <xf numFmtId="4" fontId="102" fillId="0" borderId="0" applyFont="0" applyFill="0" applyBorder="0" applyAlignment="0" applyProtection="0"/>
    <xf numFmtId="0" fontId="3" fillId="0" borderId="0"/>
    <xf numFmtId="0" fontId="41" fillId="62" borderId="21" applyNumberFormat="0" applyFont="0" applyAlignment="0" applyProtection="0"/>
    <xf numFmtId="166" fontId="3" fillId="0" borderId="0" applyFont="0" applyFill="0" applyBorder="0" applyAlignment="0" applyProtection="0"/>
    <xf numFmtId="0" fontId="3" fillId="17" borderId="0" applyNumberFormat="0" applyBorder="0" applyAlignment="0" applyProtection="0"/>
    <xf numFmtId="0" fontId="125" fillId="98" borderId="0" applyNumberFormat="0" applyBorder="0" applyAlignment="0" applyProtection="0"/>
    <xf numFmtId="0" fontId="3" fillId="0" borderId="0"/>
    <xf numFmtId="166" fontId="124" fillId="0" borderId="0" applyFont="0" applyFill="0" applyBorder="0" applyAlignment="0" applyProtection="0"/>
    <xf numFmtId="0" fontId="105" fillId="0" borderId="0"/>
    <xf numFmtId="166" fontId="1" fillId="0" borderId="0" applyFont="0" applyFill="0" applyBorder="0" applyAlignment="0" applyProtection="0"/>
    <xf numFmtId="166" fontId="85" fillId="0" borderId="0" applyFont="0" applyFill="0" applyBorder="0" applyAlignment="0" applyProtection="0"/>
    <xf numFmtId="4" fontId="102" fillId="0" borderId="0" applyFont="0" applyFill="0" applyBorder="0" applyAlignment="0" applyProtection="0"/>
    <xf numFmtId="0" fontId="105" fillId="0" borderId="0"/>
    <xf numFmtId="0" fontId="34" fillId="10" borderId="4" applyNumberFormat="0" applyAlignment="0" applyProtection="0"/>
    <xf numFmtId="0" fontId="25" fillId="18" borderId="0" applyNumberFormat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3" fillId="24" borderId="0" applyNumberFormat="0" applyBorder="0" applyAlignment="0" applyProtection="0"/>
    <xf numFmtId="166" fontId="1" fillId="0" borderId="0" applyFont="0" applyFill="0" applyBorder="0" applyAlignment="0" applyProtection="0"/>
    <xf numFmtId="0" fontId="138" fillId="92" borderId="0" applyNumberFormat="0" applyBorder="0" applyAlignment="0" applyProtection="0"/>
    <xf numFmtId="0" fontId="125" fillId="118" borderId="0" applyNumberFormat="0" applyBorder="0" applyAlignment="0" applyProtection="0"/>
    <xf numFmtId="9" fontId="85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3" fillId="0" borderId="0"/>
    <xf numFmtId="0" fontId="41" fillId="62" borderId="21" applyNumberFormat="0" applyFont="0" applyAlignment="0" applyProtection="0"/>
    <xf numFmtId="4" fontId="10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51" fillId="0" borderId="0"/>
    <xf numFmtId="0" fontId="371" fillId="0" borderId="0"/>
    <xf numFmtId="0" fontId="41" fillId="0" borderId="0"/>
    <xf numFmtId="0" fontId="38" fillId="11" borderId="5" applyNumberFormat="0" applyAlignment="0" applyProtection="0"/>
    <xf numFmtId="0" fontId="125" fillId="102" borderId="0" applyNumberFormat="0" applyBorder="0" applyAlignment="0" applyProtection="0"/>
    <xf numFmtId="0" fontId="41" fillId="62" borderId="21" applyNumberFormat="0" applyFont="0" applyAlignment="0" applyProtection="0"/>
    <xf numFmtId="166" fontId="1" fillId="0" borderId="0" applyFont="0" applyFill="0" applyBorder="0" applyAlignment="0" applyProtection="0"/>
    <xf numFmtId="4" fontId="102" fillId="0" borderId="0" applyFont="0" applyFill="0" applyBorder="0" applyAlignment="0" applyProtection="0"/>
    <xf numFmtId="166" fontId="85" fillId="0" borderId="0" applyFont="0" applyFill="0" applyBorder="0" applyAlignment="0" applyProtection="0"/>
    <xf numFmtId="196" fontId="177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4" fontId="102" fillId="0" borderId="0" applyFont="0" applyFill="0" applyBorder="0" applyAlignment="0" applyProtection="0"/>
    <xf numFmtId="0" fontId="3" fillId="32" borderId="0" applyNumberFormat="0" applyBorder="0" applyAlignment="0" applyProtection="0"/>
    <xf numFmtId="0" fontId="371" fillId="0" borderId="0"/>
    <xf numFmtId="0" fontId="102" fillId="0" borderId="0"/>
    <xf numFmtId="0" fontId="1" fillId="0" borderId="0"/>
    <xf numFmtId="166" fontId="85" fillId="0" borderId="0" applyFont="0" applyFill="0" applyBorder="0" applyAlignment="0" applyProtection="0"/>
    <xf numFmtId="0" fontId="32" fillId="0" borderId="2" applyNumberFormat="0" applyFill="0" applyAlignment="0" applyProtection="0"/>
    <xf numFmtId="4" fontId="102" fillId="0" borderId="0" applyFont="0" applyFill="0" applyBorder="0" applyAlignment="0" applyProtection="0"/>
    <xf numFmtId="0" fontId="85" fillId="0" borderId="0"/>
    <xf numFmtId="1" fontId="24" fillId="0" borderId="0"/>
    <xf numFmtId="166" fontId="21" fillId="0" borderId="0" applyFont="0" applyFill="0" applyBorder="0" applyAlignment="0" applyProtection="0"/>
    <xf numFmtId="0" fontId="22" fillId="0" borderId="0"/>
    <xf numFmtId="166" fontId="3" fillId="0" borderId="0" applyFont="0" applyFill="0" applyBorder="0" applyAlignment="0" applyProtection="0"/>
    <xf numFmtId="0" fontId="25" fillId="34" borderId="0" applyNumberFormat="0" applyBorder="0" applyAlignment="0" applyProtection="0"/>
    <xf numFmtId="0" fontId="3" fillId="25" borderId="0" applyNumberFormat="0" applyBorder="0" applyAlignment="0" applyProtection="0"/>
    <xf numFmtId="37" fontId="41" fillId="0" borderId="0"/>
    <xf numFmtId="166" fontId="4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5" fillId="0" borderId="0"/>
    <xf numFmtId="0" fontId="41" fillId="62" borderId="21" applyNumberFormat="0" applyFont="0" applyAlignment="0" applyProtection="0"/>
    <xf numFmtId="0" fontId="102" fillId="0" borderId="0"/>
    <xf numFmtId="0" fontId="125" fillId="100" borderId="0" applyNumberFormat="0" applyBorder="0" applyAlignment="0" applyProtection="0"/>
    <xf numFmtId="0" fontId="124" fillId="0" borderId="0"/>
    <xf numFmtId="0" fontId="43" fillId="0" borderId="0"/>
    <xf numFmtId="0" fontId="105" fillId="0" borderId="0"/>
    <xf numFmtId="0" fontId="3" fillId="16" borderId="0" applyNumberFormat="0" applyBorder="0" applyAlignment="0" applyProtection="0"/>
    <xf numFmtId="166" fontId="3" fillId="0" borderId="0" applyFont="0" applyFill="0" applyBorder="0" applyAlignment="0" applyProtection="0"/>
    <xf numFmtId="4" fontId="10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0" fontId="3" fillId="28" borderId="0" applyNumberFormat="0" applyBorder="0" applyAlignment="0" applyProtection="0"/>
    <xf numFmtId="0" fontId="85" fillId="0" borderId="0"/>
    <xf numFmtId="0" fontId="124" fillId="96" borderId="0" applyNumberFormat="0" applyBorder="0" applyAlignment="0" applyProtection="0"/>
    <xf numFmtId="0" fontId="48" fillId="0" borderId="0"/>
    <xf numFmtId="0" fontId="320" fillId="0" borderId="0"/>
    <xf numFmtId="0" fontId="125" fillId="104" borderId="0" applyNumberFormat="0" applyBorder="0" applyAlignment="0" applyProtection="0"/>
    <xf numFmtId="0" fontId="3" fillId="28" borderId="0" applyNumberFormat="0" applyBorder="0" applyAlignment="0" applyProtection="0"/>
    <xf numFmtId="0" fontId="371" fillId="0" borderId="0"/>
    <xf numFmtId="0" fontId="2" fillId="0" borderId="0" applyNumberFormat="0" applyFill="0" applyBorder="0" applyAlignment="0" applyProtection="0"/>
    <xf numFmtId="0" fontId="3" fillId="0" borderId="0"/>
    <xf numFmtId="0" fontId="320" fillId="0" borderId="0"/>
    <xf numFmtId="0" fontId="3" fillId="32" borderId="0" applyNumberFormat="0" applyBorder="0" applyAlignment="0" applyProtection="0"/>
    <xf numFmtId="0" fontId="125" fillId="113" borderId="0" applyNumberFormat="0" applyBorder="0" applyAlignment="0" applyProtection="0"/>
    <xf numFmtId="176" fontId="41" fillId="0" borderId="0" applyFont="0" applyFill="0" applyBorder="0" applyAlignment="0" applyProtection="0"/>
    <xf numFmtId="0" fontId="144" fillId="93" borderId="0" applyNumberFormat="0" applyBorder="0" applyAlignment="0" applyProtection="0"/>
    <xf numFmtId="0" fontId="124" fillId="94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0" fontId="371" fillId="0" borderId="0"/>
    <xf numFmtId="0" fontId="371" fillId="0" borderId="0"/>
    <xf numFmtId="166" fontId="41" fillId="0" borderId="0" applyFont="0" applyFill="0" applyBorder="0" applyAlignment="0" applyProtection="0"/>
    <xf numFmtId="0" fontId="136" fillId="107" borderId="16" applyNumberFormat="0" applyAlignment="0" applyProtection="0"/>
    <xf numFmtId="0" fontId="3" fillId="31" borderId="0" applyNumberFormat="0" applyBorder="0" applyAlignment="0" applyProtection="0"/>
    <xf numFmtId="0" fontId="30" fillId="7" borderId="0" applyNumberFormat="0" applyBorder="0" applyAlignment="0" applyProtection="0"/>
    <xf numFmtId="0" fontId="37" fillId="0" borderId="0"/>
    <xf numFmtId="1" fontId="24" fillId="0" borderId="0"/>
    <xf numFmtId="166" fontId="23" fillId="0" borderId="0" applyFont="0" applyFill="0" applyBorder="0" applyAlignment="0" applyProtection="0"/>
    <xf numFmtId="0" fontId="85" fillId="0" borderId="0"/>
    <xf numFmtId="37" fontId="240" fillId="0" borderId="0"/>
    <xf numFmtId="0" fontId="371" fillId="0" borderId="0"/>
    <xf numFmtId="0" fontId="124" fillId="97" borderId="0" applyNumberFormat="0" applyBorder="0" applyAlignment="0" applyProtection="0"/>
    <xf numFmtId="1" fontId="24" fillId="0" borderId="0"/>
    <xf numFmtId="166" fontId="41" fillId="0" borderId="0" applyFont="0" applyFill="0" applyBorder="0" applyAlignment="0" applyProtection="0"/>
    <xf numFmtId="166" fontId="85" fillId="0" borderId="0" applyFont="0" applyFill="0" applyBorder="0" applyAlignment="0" applyProtection="0"/>
    <xf numFmtId="9" fontId="320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48" fillId="0" borderId="0"/>
    <xf numFmtId="166" fontId="22" fillId="0" borderId="0" applyFont="0" applyFill="0" applyBorder="0" applyAlignment="0" applyProtection="0"/>
    <xf numFmtId="0" fontId="85" fillId="0" borderId="0"/>
    <xf numFmtId="166" fontId="41" fillId="0" borderId="0" applyFont="0" applyFill="0" applyBorder="0" applyAlignment="0" applyProtection="0"/>
    <xf numFmtId="0" fontId="3" fillId="33" borderId="0" applyNumberFormat="0" applyBorder="0" applyAlignment="0" applyProtection="0"/>
    <xf numFmtId="166" fontId="3" fillId="0" borderId="0" applyFont="0" applyFill="0" applyBorder="0" applyAlignment="0" applyProtection="0"/>
    <xf numFmtId="0" fontId="3" fillId="20" borderId="0" applyNumberFormat="0" applyBorder="0" applyAlignment="0" applyProtection="0"/>
    <xf numFmtId="0" fontId="85" fillId="0" borderId="0"/>
    <xf numFmtId="0" fontId="139" fillId="108" borderId="22" applyNumberFormat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3" fillId="0" borderId="0"/>
    <xf numFmtId="0" fontId="140" fillId="108" borderId="15" applyNumberFormat="0" applyAlignment="0" applyProtection="0"/>
    <xf numFmtId="166" fontId="3" fillId="0" borderId="0" applyFont="0" applyFill="0" applyBorder="0" applyAlignment="0" applyProtection="0"/>
    <xf numFmtId="0" fontId="105" fillId="0" borderId="0"/>
    <xf numFmtId="0" fontId="125" fillId="117" borderId="0" applyNumberFormat="0" applyBorder="0" applyAlignment="0" applyProtection="0"/>
    <xf numFmtId="237" fontId="4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20" fillId="0" borderId="0"/>
    <xf numFmtId="166" fontId="43" fillId="0" borderId="0" applyFont="0" applyFill="0" applyBorder="0" applyAlignment="0" applyProtection="0"/>
    <xf numFmtId="0" fontId="25" fillId="14" borderId="0" applyNumberFormat="0" applyBorder="0" applyAlignment="0" applyProtection="0"/>
    <xf numFmtId="220" fontId="22" fillId="0" borderId="0" applyFill="0" applyBorder="0" applyAlignment="0" applyProtection="0"/>
    <xf numFmtId="0" fontId="3" fillId="37" borderId="0" applyNumberFormat="0" applyBorder="0" applyAlignment="0" applyProtection="0"/>
    <xf numFmtId="0" fontId="371" fillId="0" borderId="0"/>
    <xf numFmtId="166" fontId="85" fillId="0" borderId="0" applyFont="0" applyFill="0" applyBorder="0" applyAlignment="0" applyProtection="0"/>
    <xf numFmtId="0" fontId="85" fillId="0" borderId="0"/>
    <xf numFmtId="0" fontId="124" fillId="91" borderId="0" applyNumberFormat="0" applyBorder="0" applyAlignment="0" applyProtection="0"/>
    <xf numFmtId="166" fontId="8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8" fillId="0" borderId="0" applyFont="0" applyFill="0" applyBorder="0" applyAlignment="0" applyProtection="0"/>
    <xf numFmtId="0" fontId="125" fillId="119" borderId="0" applyNumberFormat="0" applyBorder="0" applyAlignment="0" applyProtection="0"/>
    <xf numFmtId="0" fontId="3" fillId="29" borderId="0" applyNumberFormat="0" applyBorder="0" applyAlignment="0" applyProtection="0"/>
    <xf numFmtId="0" fontId="85" fillId="0" borderId="0"/>
    <xf numFmtId="166" fontId="21" fillId="0" borderId="0" applyFont="0" applyFill="0" applyBorder="0" applyAlignment="0" applyProtection="0"/>
    <xf numFmtId="0" fontId="320" fillId="0" borderId="0"/>
    <xf numFmtId="0" fontId="105" fillId="0" borderId="0"/>
    <xf numFmtId="0" fontId="25" fillId="22" borderId="0" applyNumberFormat="0" applyBorder="0" applyAlignment="0" applyProtection="0"/>
    <xf numFmtId="4" fontId="102" fillId="0" borderId="0" applyFont="0" applyFill="0" applyBorder="0" applyAlignment="0" applyProtection="0"/>
    <xf numFmtId="166" fontId="242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6" fontId="3" fillId="0" borderId="0" applyFont="0" applyFill="0" applyBorder="0" applyAlignment="0" applyProtection="0"/>
    <xf numFmtId="0" fontId="105" fillId="0" borderId="0"/>
    <xf numFmtId="166" fontId="50" fillId="0" borderId="0" applyFont="0" applyFill="0" applyBorder="0" applyAlignment="0" applyProtection="0"/>
    <xf numFmtId="0" fontId="43" fillId="0" borderId="0"/>
    <xf numFmtId="0" fontId="26" fillId="8" borderId="0" applyNumberFormat="0" applyBorder="0" applyAlignment="0" applyProtection="0"/>
    <xf numFmtId="0" fontId="105" fillId="0" borderId="0"/>
    <xf numFmtId="0" fontId="105" fillId="0" borderId="0"/>
    <xf numFmtId="0" fontId="22" fillId="0" borderId="0"/>
    <xf numFmtId="0" fontId="43" fillId="0" borderId="0"/>
    <xf numFmtId="0" fontId="41" fillId="62" borderId="21" applyNumberFormat="0" applyFont="0" applyAlignment="0" applyProtection="0"/>
    <xf numFmtId="166" fontId="371" fillId="0" borderId="0" applyFont="0" applyFill="0" applyBorder="0" applyAlignment="0" applyProtection="0"/>
    <xf numFmtId="166" fontId="85" fillId="0" borderId="0" applyFont="0" applyFill="0" applyBorder="0" applyAlignment="0" applyProtection="0"/>
    <xf numFmtId="1" fontId="24" fillId="0" borderId="0"/>
    <xf numFmtId="0" fontId="43" fillId="0" borderId="0"/>
    <xf numFmtId="0" fontId="146" fillId="109" borderId="0" applyNumberFormat="0" applyBorder="0" applyAlignment="0" applyProtection="0"/>
    <xf numFmtId="0" fontId="378" fillId="0" borderId="0"/>
    <xf numFmtId="166" fontId="23" fillId="0" borderId="0" applyFont="0" applyFill="0" applyBorder="0" applyAlignment="0" applyProtection="0"/>
    <xf numFmtId="0" fontId="369" fillId="0" borderId="0"/>
    <xf numFmtId="0" fontId="3" fillId="36" borderId="0" applyNumberFormat="0" applyBorder="0" applyAlignment="0" applyProtection="0"/>
    <xf numFmtId="0" fontId="41" fillId="0" borderId="0"/>
    <xf numFmtId="0" fontId="35" fillId="0" borderId="6" applyNumberFormat="0" applyFill="0" applyAlignment="0" applyProtection="0"/>
    <xf numFmtId="1" fontId="24" fillId="0" borderId="0"/>
    <xf numFmtId="4" fontId="47" fillId="0" borderId="0" applyFont="0" applyFill="0" applyBorder="0" applyAlignment="0" applyProtection="0"/>
    <xf numFmtId="0" fontId="125" fillId="104" borderId="0" applyNumberFormat="0" applyBorder="0" applyAlignment="0" applyProtection="0"/>
    <xf numFmtId="0" fontId="3" fillId="35" borderId="0" applyNumberFormat="0" applyBorder="0" applyAlignment="0" applyProtection="0"/>
    <xf numFmtId="1" fontId="24" fillId="0" borderId="0"/>
    <xf numFmtId="0" fontId="124" fillId="93" borderId="0" applyNumberFormat="0" applyBorder="0" applyAlignment="0" applyProtection="0"/>
    <xf numFmtId="166" fontId="102" fillId="0" borderId="0" applyFont="0" applyFill="0" applyBorder="0" applyAlignment="0" applyProtection="0"/>
    <xf numFmtId="0" fontId="3" fillId="0" borderId="0"/>
    <xf numFmtId="0" fontId="372" fillId="0" borderId="0" applyNumberFormat="0" applyFill="0" applyBorder="0" applyAlignment="0" applyProtection="0"/>
    <xf numFmtId="0" fontId="43" fillId="0" borderId="0"/>
    <xf numFmtId="0" fontId="102" fillId="0" borderId="0"/>
    <xf numFmtId="0" fontId="377" fillId="0" borderId="0" applyNumberFormat="0" applyFill="0" applyBorder="0" applyAlignment="0" applyProtection="0"/>
    <xf numFmtId="166" fontId="242" fillId="0" borderId="0" applyFont="0" applyFill="0" applyBorder="0" applyAlignment="0" applyProtection="0"/>
    <xf numFmtId="0" fontId="102" fillId="0" borderId="0"/>
    <xf numFmtId="0" fontId="39" fillId="0" borderId="0" applyNumberFormat="0" applyFill="0" applyBorder="0" applyAlignment="0" applyProtection="0"/>
    <xf numFmtId="4" fontId="102" fillId="0" borderId="0" applyFont="0" applyFill="0" applyBorder="0" applyAlignment="0" applyProtection="0"/>
    <xf numFmtId="0" fontId="85" fillId="0" borderId="0"/>
    <xf numFmtId="0" fontId="1" fillId="0" borderId="0"/>
    <xf numFmtId="0" fontId="85" fillId="0" borderId="0">
      <protection locked="0"/>
    </xf>
    <xf numFmtId="0" fontId="1" fillId="0" borderId="0"/>
    <xf numFmtId="0" fontId="124" fillId="92" borderId="0" applyNumberFormat="0" applyBorder="0" applyAlignment="0" applyProtection="0"/>
    <xf numFmtId="37" fontId="41" fillId="0" borderId="0"/>
    <xf numFmtId="0" fontId="3" fillId="19" borderId="0" applyNumberFormat="0" applyBorder="0" applyAlignment="0" applyProtection="0"/>
    <xf numFmtId="0" fontId="3" fillId="0" borderId="0"/>
    <xf numFmtId="0" fontId="124" fillId="97" borderId="0" applyNumberFormat="0" applyBorder="0" applyAlignment="0" applyProtection="0"/>
    <xf numFmtId="166" fontId="21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46" fillId="0" borderId="0"/>
    <xf numFmtId="0" fontId="33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124" fillId="98" borderId="0" applyNumberFormat="0" applyBorder="0" applyAlignment="0" applyProtection="0"/>
    <xf numFmtId="0" fontId="102" fillId="0" borderId="0"/>
    <xf numFmtId="166" fontId="3" fillId="0" borderId="0" applyFont="0" applyFill="0" applyBorder="0" applyAlignment="0" applyProtection="0"/>
    <xf numFmtId="166" fontId="48" fillId="0" borderId="0" applyFont="0" applyFill="0" applyBorder="0" applyAlignment="0" applyProtection="0"/>
    <xf numFmtId="176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74" fillId="0" borderId="0" applyNumberFormat="0" applyFill="0" applyBorder="0" applyAlignment="0">
      <alignment vertical="top"/>
      <protection locked="0"/>
    </xf>
    <xf numFmtId="0" fontId="368" fillId="30" borderId="0" applyNumberFormat="0" applyBorder="0" applyAlignment="0" applyProtection="0"/>
    <xf numFmtId="0" fontId="3" fillId="23" borderId="0" applyNumberFormat="0" applyBorder="0" applyAlignment="0" applyProtection="0"/>
    <xf numFmtId="0" fontId="1" fillId="0" borderId="0"/>
    <xf numFmtId="166" fontId="85" fillId="0" borderId="0" applyFont="0" applyFill="0" applyBorder="0" applyAlignment="0" applyProtection="0"/>
    <xf numFmtId="0" fontId="124" fillId="100" borderId="0" applyNumberFormat="0" applyBorder="0" applyAlignment="0" applyProtection="0"/>
    <xf numFmtId="0" fontId="85" fillId="0" borderId="0">
      <protection locked="0"/>
    </xf>
    <xf numFmtId="0" fontId="3" fillId="37" borderId="0" applyNumberFormat="0" applyBorder="0" applyAlignment="0" applyProtection="0"/>
    <xf numFmtId="0" fontId="379" fillId="0" borderId="0" applyNumberFormat="0" applyFill="0" applyBorder="0" applyAlignment="0" applyProtection="0">
      <alignment vertical="top"/>
      <protection locked="0"/>
    </xf>
    <xf numFmtId="4" fontId="102" fillId="0" borderId="0" applyFont="0" applyFill="0" applyBorder="0" applyAlignment="0" applyProtection="0"/>
    <xf numFmtId="0" fontId="3" fillId="31" borderId="0" applyNumberFormat="0" applyBorder="0" applyAlignment="0" applyProtection="0"/>
    <xf numFmtId="0" fontId="3" fillId="36" borderId="0" applyNumberFormat="0" applyBorder="0" applyAlignment="0" applyProtection="0"/>
    <xf numFmtId="4" fontId="102" fillId="0" borderId="0" applyFont="0" applyFill="0" applyBorder="0" applyAlignment="0" applyProtection="0"/>
    <xf numFmtId="0" fontId="41" fillId="0" borderId="0"/>
    <xf numFmtId="0" fontId="145" fillId="96" borderId="15" applyNumberFormat="0" applyAlignment="0" applyProtection="0"/>
    <xf numFmtId="166" fontId="51" fillId="0" borderId="0" applyFont="0" applyFill="0" applyBorder="0" applyAlignment="0" applyProtection="0"/>
    <xf numFmtId="0" fontId="41" fillId="62" borderId="21" applyNumberFormat="0" applyFont="0" applyAlignment="0" applyProtection="0"/>
    <xf numFmtId="0" fontId="41" fillId="0" borderId="0"/>
    <xf numFmtId="9" fontId="177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" fillId="35" borderId="0" applyNumberFormat="0" applyBorder="0" applyAlignment="0" applyProtection="0"/>
    <xf numFmtId="0" fontId="37" fillId="0" borderId="0"/>
    <xf numFmtId="0" fontId="102" fillId="0" borderId="0"/>
    <xf numFmtId="0" fontId="3" fillId="21" borderId="0" applyNumberFormat="0" applyBorder="0" applyAlignment="0" applyProtection="0"/>
    <xf numFmtId="0" fontId="25" fillId="26" borderId="0" applyNumberFormat="0" applyBorder="0" applyAlignment="0" applyProtection="0"/>
    <xf numFmtId="0" fontId="376" fillId="0" borderId="0"/>
    <xf numFmtId="37" fontId="41" fillId="0" borderId="0"/>
    <xf numFmtId="0" fontId="102" fillId="0" borderId="0"/>
    <xf numFmtId="0" fontId="3" fillId="19" borderId="0" applyNumberFormat="0" applyBorder="0" applyAlignment="0" applyProtection="0"/>
    <xf numFmtId="0" fontId="125" fillId="111" borderId="0" applyNumberFormat="0" applyBorder="0" applyAlignment="0" applyProtection="0"/>
    <xf numFmtId="0" fontId="51" fillId="0" borderId="0"/>
    <xf numFmtId="0" fontId="3" fillId="17" borderId="0" applyNumberFormat="0" applyBorder="0" applyAlignment="0" applyProtection="0"/>
    <xf numFmtId="0" fontId="124" fillId="95" borderId="0" applyNumberFormat="0" applyBorder="0" applyAlignment="0" applyProtection="0"/>
    <xf numFmtId="4" fontId="47" fillId="0" borderId="0" applyFont="0" applyFill="0" applyBorder="0" applyAlignment="0" applyProtection="0"/>
    <xf numFmtId="0" fontId="41" fillId="0" borderId="0"/>
    <xf numFmtId="166" fontId="51" fillId="0" borderId="0" applyFont="0" applyFill="0" applyBorder="0" applyAlignment="0" applyProtection="0"/>
    <xf numFmtId="0" fontId="27" fillId="11" borderId="4" applyNumberFormat="0" applyAlignment="0" applyProtection="0"/>
    <xf numFmtId="166" fontId="21" fillId="0" borderId="0" applyFont="0" applyFill="0" applyBorder="0" applyAlignment="0" applyProtection="0"/>
    <xf numFmtId="0" fontId="375" fillId="0" borderId="0" applyNumberFormat="0" applyFill="0" applyBorder="0" applyAlignment="0" applyProtection="0">
      <alignment vertical="top"/>
      <protection locked="0"/>
    </xf>
    <xf numFmtId="166" fontId="41" fillId="0" borderId="0" applyFont="0" applyFill="0" applyBorder="0" applyAlignment="0" applyProtection="0"/>
    <xf numFmtId="0" fontId="125" fillId="117" borderId="0" applyNumberFormat="0" applyBorder="0" applyAlignment="0" applyProtection="0"/>
    <xf numFmtId="0" fontId="3" fillId="25" borderId="0" applyNumberFormat="0" applyBorder="0" applyAlignment="0" applyProtection="0"/>
    <xf numFmtId="0" fontId="378" fillId="0" borderId="0"/>
    <xf numFmtId="4" fontId="102" fillId="0" borderId="0" applyFont="0" applyFill="0" applyBorder="0" applyAlignment="0" applyProtection="0"/>
    <xf numFmtId="9" fontId="369" fillId="0" borderId="0" applyFont="0" applyFill="0" applyBorder="0" applyAlignment="0" applyProtection="0"/>
    <xf numFmtId="0" fontId="41" fillId="62" borderId="21" applyNumberFormat="0" applyFont="0" applyAlignment="0" applyProtection="0"/>
    <xf numFmtId="4" fontId="47" fillId="0" borderId="0" applyFont="0" applyFill="0" applyBorder="0" applyAlignment="0" applyProtection="0"/>
    <xf numFmtId="0" fontId="3" fillId="0" borderId="0"/>
    <xf numFmtId="0" fontId="3" fillId="21" borderId="0" applyNumberFormat="0" applyBorder="0" applyAlignment="0" applyProtection="0"/>
    <xf numFmtId="166" fontId="3" fillId="0" borderId="0" applyFont="0" applyFill="0" applyBorder="0" applyAlignment="0" applyProtection="0"/>
    <xf numFmtId="0" fontId="124" fillId="94" borderId="0" applyNumberFormat="0" applyBorder="0" applyAlignment="0" applyProtection="0"/>
    <xf numFmtId="0" fontId="370" fillId="10" borderId="4" applyNumberFormat="0" applyAlignment="0" applyProtection="0"/>
    <xf numFmtId="4" fontId="47" fillId="0" borderId="0" applyFont="0" applyFill="0" applyBorder="0" applyAlignment="0" applyProtection="0"/>
    <xf numFmtId="0" fontId="373" fillId="0" borderId="12" applyNumberFormat="0" applyFill="0" applyAlignment="0">
      <protection locked="0"/>
    </xf>
    <xf numFmtId="0" fontId="28" fillId="12" borderId="7" applyNumberFormat="0" applyAlignment="0" applyProtection="0"/>
    <xf numFmtId="0" fontId="3" fillId="15" borderId="0" applyNumberFormat="0" applyBorder="0" applyAlignment="0" applyProtection="0"/>
    <xf numFmtId="0" fontId="3" fillId="29" borderId="0" applyNumberFormat="0" applyBorder="0" applyAlignment="0" applyProtection="0"/>
    <xf numFmtId="166" fontId="41" fillId="0" borderId="0" applyFont="0" applyFill="0" applyBorder="0" applyAlignment="0" applyProtection="0"/>
    <xf numFmtId="196" fontId="177" fillId="0" borderId="0" applyFont="0" applyFill="0" applyBorder="0" applyAlignment="0" applyProtection="0"/>
    <xf numFmtId="0" fontId="373" fillId="0" borderId="12" applyNumberFormat="0" applyFill="0" applyAlignment="0">
      <alignment wrapText="1"/>
      <protection locked="0"/>
    </xf>
    <xf numFmtId="0" fontId="85" fillId="0" borderId="0"/>
    <xf numFmtId="0" fontId="40" fillId="0" borderId="9" applyNumberFormat="0" applyFill="0" applyAlignment="0" applyProtection="0"/>
    <xf numFmtId="0" fontId="3" fillId="15" borderId="0" applyNumberFormat="0" applyBorder="0" applyAlignment="0" applyProtection="0"/>
    <xf numFmtId="0" fontId="41" fillId="62" borderId="21" applyNumberFormat="0" applyFont="0" applyAlignment="0" applyProtection="0"/>
    <xf numFmtId="166" fontId="3" fillId="0" borderId="0" applyFont="0" applyFill="0" applyBorder="0" applyAlignment="0" applyProtection="0"/>
    <xf numFmtId="0" fontId="373" fillId="0" borderId="12" applyNumberFormat="0" applyFill="0" applyAlignment="0">
      <alignment wrapText="1"/>
      <protection locked="0"/>
    </xf>
    <xf numFmtId="236" fontId="41" fillId="0" borderId="0" applyFont="0" applyFill="0" applyBorder="0" applyAlignment="0" applyProtection="0"/>
    <xf numFmtId="0" fontId="41" fillId="0" borderId="0"/>
    <xf numFmtId="0" fontId="85" fillId="0" borderId="0"/>
    <xf numFmtId="0" fontId="174" fillId="0" borderId="0"/>
    <xf numFmtId="0" fontId="124" fillId="101" borderId="0" applyNumberFormat="0" applyBorder="0" applyAlignment="0" applyProtection="0"/>
    <xf numFmtId="166" fontId="1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102" fillId="0" borderId="0"/>
    <xf numFmtId="0" fontId="31" fillId="0" borderId="1" applyNumberFormat="0" applyFill="0" applyAlignment="0" applyProtection="0"/>
    <xf numFmtId="0" fontId="125" fillId="114" borderId="0" applyNumberFormat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37" fillId="0" borderId="0"/>
    <xf numFmtId="0" fontId="25" fillId="30" borderId="0" applyNumberFormat="0" applyBorder="0" applyAlignment="0" applyProtection="0"/>
    <xf numFmtId="0" fontId="320" fillId="0" borderId="0"/>
    <xf numFmtId="166" fontId="3" fillId="0" borderId="0" applyFont="0" applyFill="0" applyBorder="0" applyAlignment="0" applyProtection="0"/>
    <xf numFmtId="220" fontId="22" fillId="0" borderId="0" applyFill="0" applyBorder="0" applyAlignment="0" applyProtection="0"/>
    <xf numFmtId="0" fontId="33" fillId="0" borderId="3" applyNumberFormat="0" applyFill="0" applyAlignment="0" applyProtection="0"/>
    <xf numFmtId="0" fontId="34" fillId="10" borderId="4" applyNumberFormat="0" applyAlignment="0" applyProtection="0"/>
    <xf numFmtId="166" fontId="21" fillId="0" borderId="0" applyFont="0" applyFill="0" applyBorder="0" applyAlignment="0" applyProtection="0"/>
    <xf numFmtId="0" fontId="36" fillId="9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105" fillId="0" borderId="0" applyFont="0" applyFill="0" applyBorder="0" applyAlignment="0" applyProtection="0"/>
    <xf numFmtId="0" fontId="3" fillId="24" borderId="0" applyNumberFormat="0" applyBorder="0" applyAlignment="0" applyProtection="0"/>
    <xf numFmtId="0" fontId="371" fillId="0" borderId="0"/>
    <xf numFmtId="0" fontId="22" fillId="115" borderId="21" applyNumberFormat="0" applyAlignment="0" applyProtection="0"/>
    <xf numFmtId="0" fontId="3" fillId="23" borderId="0" applyNumberFormat="0" applyBorder="0" applyAlignment="0" applyProtection="0"/>
    <xf numFmtId="0" fontId="85" fillId="0" borderId="0"/>
    <xf numFmtId="220" fontId="22" fillId="0" borderId="0" applyFill="0" applyBorder="0" applyAlignment="0" applyProtection="0"/>
    <xf numFmtId="0" fontId="367" fillId="0" borderId="0" applyNumberFormat="0" applyFill="0" applyBorder="0" applyAlignment="0" applyProtection="0">
      <alignment vertical="top"/>
      <protection locked="0"/>
    </xf>
    <xf numFmtId="9" fontId="85" fillId="0" borderId="0" applyFont="0" applyFill="0" applyBorder="0" applyAlignment="0" applyProtection="0"/>
    <xf numFmtId="0" fontId="102" fillId="0" borderId="0"/>
    <xf numFmtId="4" fontId="102" fillId="0" borderId="0" applyFont="0" applyFill="0" applyBorder="0" applyAlignment="0" applyProtection="0"/>
    <xf numFmtId="0" fontId="3" fillId="0" borderId="0"/>
    <xf numFmtId="0" fontId="85" fillId="0" borderId="0"/>
    <xf numFmtId="0" fontId="85" fillId="0" borderId="0"/>
    <xf numFmtId="0" fontId="85" fillId="0" borderId="0"/>
    <xf numFmtId="9" fontId="85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80" fillId="0" borderId="0"/>
    <xf numFmtId="43" fontId="85" fillId="0" borderId="0" applyFont="0" applyFill="0" applyBorder="0" applyAlignment="0" applyProtection="0"/>
    <xf numFmtId="0" fontId="85" fillId="0" borderId="0"/>
    <xf numFmtId="43" fontId="85" fillId="0" borderId="0" applyFont="0" applyFill="0" applyBorder="0" applyAlignment="0" applyProtection="0"/>
    <xf numFmtId="0" fontId="85" fillId="0" borderId="0"/>
    <xf numFmtId="0" fontId="381" fillId="0" borderId="0">
      <alignment horizontal="left"/>
    </xf>
    <xf numFmtId="0" fontId="381" fillId="0" borderId="0"/>
    <xf numFmtId="43" fontId="51" fillId="0" borderId="0" applyFont="0" applyFill="0" applyBorder="0" applyAlignment="0" applyProtection="0"/>
    <xf numFmtId="0" fontId="380" fillId="0" borderId="0"/>
    <xf numFmtId="43" fontId="51" fillId="0" borderId="0" applyFont="0" applyFill="0" applyBorder="0" applyAlignment="0" applyProtection="0"/>
    <xf numFmtId="0" fontId="38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4" fontId="102" fillId="0" borderId="0" applyFont="0" applyFill="0" applyBorder="0" applyAlignment="0" applyProtection="0"/>
    <xf numFmtId="0" fontId="102" fillId="0" borderId="0"/>
    <xf numFmtId="43" fontId="51" fillId="0" borderId="0" applyFont="0" applyFill="0" applyBorder="0" applyAlignment="0" applyProtection="0"/>
    <xf numFmtId="0" fontId="380" fillId="0" borderId="0"/>
    <xf numFmtId="0" fontId="48" fillId="0" borderId="0"/>
    <xf numFmtId="43" fontId="85" fillId="0" borderId="0" applyFont="0" applyFill="0" applyBorder="0" applyAlignment="0" applyProtection="0"/>
    <xf numFmtId="0" fontId="85" fillId="0" borderId="0"/>
    <xf numFmtId="9" fontId="8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8" fillId="0" borderId="0"/>
    <xf numFmtId="1" fontId="24" fillId="0" borderId="0"/>
    <xf numFmtId="0" fontId="48" fillId="0" borderId="0"/>
    <xf numFmtId="43" fontId="3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5" borderId="0" xfId="0" applyFill="1"/>
    <xf numFmtId="0" fontId="20" fillId="0" borderId="0" xfId="0" applyFont="1"/>
    <xf numFmtId="166" fontId="3" fillId="0" borderId="0" xfId="1" applyFont="1" applyAlignment="1">
      <alignment horizontal="right" vertical="center"/>
    </xf>
    <xf numFmtId="166" fontId="101" fillId="0" borderId="0" xfId="1" applyFont="1" applyAlignment="1">
      <alignment horizontal="right" vertical="center"/>
    </xf>
    <xf numFmtId="166" fontId="3" fillId="0" borderId="0" xfId="1" applyFont="1" applyAlignment="1">
      <alignment vertical="center"/>
    </xf>
    <xf numFmtId="166" fontId="3" fillId="0" borderId="0" xfId="1" applyFont="1"/>
    <xf numFmtId="166" fontId="101" fillId="0" borderId="0" xfId="1" applyFont="1"/>
    <xf numFmtId="166" fontId="101" fillId="0" borderId="0" xfId="1" applyFont="1" applyFill="1" applyAlignment="1">
      <alignment vertical="center"/>
    </xf>
    <xf numFmtId="166" fontId="101" fillId="0" borderId="0" xfId="1" applyFont="1" applyAlignment="1">
      <alignment vertical="center"/>
    </xf>
    <xf numFmtId="166" fontId="101" fillId="0" borderId="0" xfId="1" applyFont="1" applyFill="1" applyAlignment="1">
      <alignment horizontal="right" vertical="center"/>
    </xf>
    <xf numFmtId="166" fontId="101" fillId="0" borderId="0" xfId="1" applyFont="1" applyAlignment="1">
      <alignment horizontal="right"/>
    </xf>
    <xf numFmtId="0" fontId="0" fillId="116" borderId="0" xfId="0" applyFill="1"/>
    <xf numFmtId="166" fontId="101" fillId="0" borderId="0" xfId="1" applyFont="1" applyFill="1" applyBorder="1" applyAlignment="1">
      <alignment horizontal="center"/>
    </xf>
    <xf numFmtId="0" fontId="0" fillId="120" borderId="0" xfId="0" applyFill="1"/>
    <xf numFmtId="165" fontId="0" fillId="0" borderId="0" xfId="0" applyNumberFormat="1"/>
    <xf numFmtId="166" fontId="0" fillId="6" borderId="0" xfId="1" applyFont="1" applyFill="1"/>
    <xf numFmtId="166" fontId="101" fillId="0" borderId="0" xfId="1" applyFont="1" applyBorder="1"/>
    <xf numFmtId="166" fontId="101" fillId="0" borderId="0" xfId="1" applyFont="1" applyAlignment="1">
      <alignment horizontal="center" vertical="center"/>
    </xf>
    <xf numFmtId="166" fontId="3" fillId="6" borderId="0" xfId="1" applyFont="1" applyFill="1"/>
    <xf numFmtId="0" fontId="0" fillId="120" borderId="0" xfId="1" applyNumberFormat="1" applyFont="1" applyFill="1"/>
    <xf numFmtId="0" fontId="101" fillId="120" borderId="0" xfId="695" applyFont="1" applyFill="1" applyAlignment="1">
      <alignment horizontal="right"/>
    </xf>
    <xf numFmtId="0" fontId="101" fillId="120" borderId="0" xfId="1" applyNumberFormat="1" applyFont="1" applyFill="1" applyAlignment="1">
      <alignment vertical="center"/>
    </xf>
    <xf numFmtId="0" fontId="3" fillId="120" borderId="0" xfId="1" applyNumberFormat="1" applyFont="1" applyFill="1"/>
    <xf numFmtId="0" fontId="3" fillId="120" borderId="0" xfId="0" applyFont="1" applyFill="1"/>
    <xf numFmtId="0" fontId="0" fillId="40" borderId="0" xfId="0" applyFill="1" applyAlignment="1">
      <alignment horizontal="center"/>
    </xf>
    <xf numFmtId="166" fontId="3" fillId="0" borderId="0" xfId="1" applyFont="1" applyAlignment="1">
      <alignment horizontal="right"/>
    </xf>
    <xf numFmtId="166" fontId="101" fillId="0" borderId="0" xfId="1" applyFont="1" applyFill="1" applyBorder="1" applyAlignment="1">
      <alignment horizontal="right"/>
    </xf>
    <xf numFmtId="0" fontId="101" fillId="121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116" borderId="0" xfId="0" applyFill="1" applyAlignment="1">
      <alignment horizontal="left"/>
    </xf>
    <xf numFmtId="0" fontId="0" fillId="0" borderId="0" xfId="0" applyAlignment="1">
      <alignment horizontal="left"/>
    </xf>
    <xf numFmtId="0" fontId="0" fillId="122" borderId="0" xfId="0" applyFill="1" applyAlignment="1">
      <alignment horizontal="left"/>
    </xf>
    <xf numFmtId="0" fontId="0" fillId="123" borderId="0" xfId="0" applyFill="1" applyAlignment="1">
      <alignment horizontal="right"/>
    </xf>
    <xf numFmtId="165" fontId="0" fillId="123" borderId="0" xfId="0" applyNumberFormat="1" applyFill="1" applyAlignment="1">
      <alignment horizontal="right" indent="5"/>
    </xf>
    <xf numFmtId="0" fontId="0" fillId="122" borderId="0" xfId="0" applyFill="1" applyAlignment="1">
      <alignment horizontal="right"/>
    </xf>
    <xf numFmtId="0" fontId="0" fillId="123" borderId="0" xfId="0" applyFill="1"/>
    <xf numFmtId="0" fontId="383" fillId="0" borderId="0" xfId="0" applyFont="1" applyAlignment="1">
      <alignment vertical="center" wrapText="1"/>
    </xf>
    <xf numFmtId="0" fontId="383" fillId="0" borderId="0" xfId="0" applyFont="1" applyAlignment="1">
      <alignment horizontal="right" vertical="center" wrapText="1"/>
    </xf>
    <xf numFmtId="14" fontId="2" fillId="0" borderId="0" xfId="0" applyNumberFormat="1" applyFont="1"/>
    <xf numFmtId="0" fontId="101" fillId="0" borderId="0" xfId="0" applyFont="1" applyAlignment="1">
      <alignment horizontal="center" vertical="center"/>
    </xf>
    <xf numFmtId="0" fontId="101" fillId="0" borderId="0" xfId="0" applyFont="1" applyAlignment="1">
      <alignment horizontal="right" vertical="center"/>
    </xf>
    <xf numFmtId="4" fontId="101" fillId="0" borderId="0" xfId="0" applyNumberFormat="1" applyFont="1" applyAlignment="1">
      <alignment horizontal="right" vertical="center"/>
    </xf>
    <xf numFmtId="0" fontId="101" fillId="116" borderId="0" xfId="0" applyFont="1" applyFill="1" applyAlignment="1">
      <alignment horizontal="left" vertical="center"/>
    </xf>
    <xf numFmtId="0" fontId="0" fillId="40" borderId="0" xfId="0" applyFill="1" applyAlignment="1">
      <alignment horizontal="center" vertical="top"/>
    </xf>
    <xf numFmtId="0" fontId="0" fillId="40" borderId="0" xfId="0" applyFill="1" applyAlignment="1">
      <alignment horizontal="left" vertical="top"/>
    </xf>
    <xf numFmtId="166" fontId="383" fillId="0" borderId="0" xfId="1" applyFont="1" applyFill="1" applyBorder="1" applyAlignment="1">
      <alignment horizontal="right" vertical="center" wrapText="1"/>
    </xf>
    <xf numFmtId="166" fontId="382" fillId="0" borderId="0" xfId="1" applyFont="1" applyFill="1" applyBorder="1" applyAlignment="1">
      <alignment horizontal="center" vertical="center" wrapText="1"/>
    </xf>
    <xf numFmtId="166" fontId="0" fillId="120" borderId="0" xfId="1" applyFont="1" applyFill="1"/>
    <xf numFmtId="0" fontId="101" fillId="2" borderId="0" xfId="0" applyFont="1" applyFill="1" applyAlignment="1">
      <alignment vertical="center" wrapText="1"/>
    </xf>
    <xf numFmtId="0" fontId="101" fillId="2" borderId="0" xfId="0" applyFont="1" applyFill="1" applyAlignment="1">
      <alignment horizontal="center" vertical="center" wrapText="1"/>
    </xf>
    <xf numFmtId="0" fontId="384" fillId="2" borderId="0" xfId="0" applyFont="1" applyFill="1" applyAlignment="1">
      <alignment horizontal="center" vertical="center" wrapText="1"/>
    </xf>
    <xf numFmtId="0" fontId="101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01" fillId="0" borderId="0" xfId="0" applyFont="1"/>
    <xf numFmtId="0" fontId="0" fillId="40" borderId="0" xfId="0" applyFill="1"/>
  </cellXfs>
  <cellStyles count="7357">
    <cellStyle name="??" xfId="212" xr:uid="{28ED38D4-ED46-425E-8D9F-0F6CE4DAB814}"/>
    <cellStyle name="?? [0.00]_ADMAG" xfId="910" xr:uid="{014EDF44-1461-4A82-8FD6-714A60B57B89}"/>
    <cellStyle name="???" xfId="2010" xr:uid="{EFDB12D5-3AFC-4F20-B2E5-8EF4D0D9DCE6}"/>
    <cellStyle name="????" xfId="2108" xr:uid="{EFEFD35B-3D22-4468-B3BE-C296C7E82377}"/>
    <cellStyle name="???? [0.00]_ADMAG" xfId="726" xr:uid="{A33D5959-97E1-4A62-9E4B-6E60F027CB51}"/>
    <cellStyle name="??????" xfId="2109" xr:uid="{23267AB0-25DE-441F-B25C-130F74A98896}"/>
    <cellStyle name="????[0]_PLDT" xfId="821" xr:uid="{FC1B8C7A-88FC-4350-BE25-1999C66D43C9}"/>
    <cellStyle name="????_10????" xfId="2110" xr:uid="{DB979833-0D33-437A-B88B-941FB0028EA2}"/>
    <cellStyle name="???[0]_liz-ss" xfId="2009" xr:uid="{F2175CE6-36B3-4528-A0BB-55F134080C20}"/>
    <cellStyle name="???_'01.11" xfId="2008" xr:uid="{F08C73F2-F82E-4F69-A351-53856693A7B4}"/>
    <cellStyle name="??[0]_PLDT" xfId="727" xr:uid="{3A9ED137-E025-4702-8822-551EFF198572}"/>
    <cellStyle name="??_03-?? (1)" xfId="2111" xr:uid="{C193DC21-A752-4B7D-91D6-DDD7C9FA0999}"/>
    <cellStyle name="_%(SignOnly)" xfId="728" xr:uid="{B692FBEB-FB31-4D79-A43E-8A238F02E864}"/>
    <cellStyle name="_%(SignOnly) 2" xfId="1363" xr:uid="{3C4AE031-9B32-4F32-A9C9-BB3E260A256B}"/>
    <cellStyle name="_%(SignSpaceOnly)" xfId="729" xr:uid="{2C1DA9EA-85BB-4820-A9EE-F9890D0FFD9F}"/>
    <cellStyle name="_%(SignSpaceOnly) 2" xfId="1362" xr:uid="{C3AA2791-6DCA-449A-A011-D388DB358E7B}"/>
    <cellStyle name="_Atlas Lead 311206 (update)" xfId="864" xr:uid="{D6467D35-6B04-4BFC-A368-4A8813DBF833}"/>
    <cellStyle name="_Atlas Lead 311206 (update) 2" xfId="1358" xr:uid="{F3AA5ACA-E7CC-47C4-9437-82286763CD05}"/>
    <cellStyle name="_Atlas Lead 311206 (update) 3" xfId="3509" xr:uid="{FDE4779B-99C9-4A09-9057-208E9CBB97BC}"/>
    <cellStyle name="_Atlas Lead 311206 (update)_Bank Recconcile 14 Oct 2016" xfId="3508" xr:uid="{01DC923C-9414-4112-9613-1D76922B9733}"/>
    <cellStyle name="_Atlas Lead 311206 (update)_Bank Recconcile 15 Aug 31" xfId="3507" xr:uid="{979F5321-E289-40DF-BE69-20727E8F34A8}"/>
    <cellStyle name="_Atlas Lead 311206 (update)_Bank Recconcile 17 Oct 2016" xfId="3412" xr:uid="{C63002E4-8454-41A1-88AF-AC87DC9A8B7A}"/>
    <cellStyle name="_Atlas Lead 311206 (update)_Bank Recconcile 2017 Jun_23" xfId="3411" xr:uid="{66BC829E-BD17-4D70-9C3D-1326A5AE595F}"/>
    <cellStyle name="_Atlas Lead 311206 (update)_Bank Recconcile 2017 May_11" xfId="3506" xr:uid="{CE6121B7-2026-43B8-8838-22846B7B5700}"/>
    <cellStyle name="_Atlas Lead 311206 (update)_Bank Recconcile 24 Jun 2016" xfId="3410" xr:uid="{EBF51678-03FB-4F4C-885D-0EF8DE1632A0}"/>
    <cellStyle name="_Atlas Lead 311206 (update)_Bank Recconcile 3 Aug 2016" xfId="3409" xr:uid="{FBA6AB13-0FA0-4331-9171-75A1FC52BFC7}"/>
    <cellStyle name="_Atlas Lead 311206 (update)_LeadTB-Feb16" xfId="825" xr:uid="{18296866-BA34-40C9-8550-309891778B04}"/>
    <cellStyle name="_Atlas Lead 311206 (update)_TB" xfId="3408" xr:uid="{3D8BFDAF-BBE7-461D-8FF3-A47C04668048}"/>
    <cellStyle name="_Bank reconcile07 RICHIE" xfId="2007" xr:uid="{EE5F3BB1-7430-409C-B7D3-F52B01EC9CEC}"/>
    <cellStyle name="_Comma" xfId="730" xr:uid="{9455A18F-F343-4105-83CF-6740D757E4FF}"/>
    <cellStyle name="_Comma 2" xfId="1357" xr:uid="{24A527CC-B867-4517-BA33-216B5F0ACF90}"/>
    <cellStyle name="_Currency" xfId="731" xr:uid="{75A7E3D3-595B-4514-BAA4-E2265AFA705D}"/>
    <cellStyle name="_Currency 2" xfId="1353" xr:uid="{A91DC839-6A4F-46A3-8675-0EB2C300F4CC}"/>
    <cellStyle name="_CurrencySpace" xfId="732" xr:uid="{6EA46F3A-E252-46DD-AC99-7D98046F3A91}"/>
    <cellStyle name="_CurrencySpace 2" xfId="1473" xr:uid="{56F67A87-5BFA-4C68-B809-DA0DE90508D6}"/>
    <cellStyle name="_Euro" xfId="733" xr:uid="{A4A098AC-8932-49CF-AEF5-D71A2E6F9DB2}"/>
    <cellStyle name="_Euro 2" xfId="1352" xr:uid="{7A2C0D20-87AF-4A9D-9451-E9EC569ED039}"/>
    <cellStyle name="_Heading" xfId="734" xr:uid="{E8504C7F-0C2C-4D7A-B775-ADACA084BF65}"/>
    <cellStyle name="_Highlight" xfId="735" xr:uid="{1205ED49-8594-4A11-AEBB-57095BC81992}"/>
    <cellStyle name="_Highlight 2" xfId="1507" xr:uid="{1781FCF5-F86A-443D-B3BE-C8D19686BD1A}"/>
    <cellStyle name="_IVP_Banking_Apr-Dec2005_SecUnit" xfId="909" xr:uid="{91B6FEE6-68BA-416C-AB02-903E194762D5}"/>
    <cellStyle name="_IVP_Banking_Apr-Dec2005_SecUnit 2" xfId="1349" xr:uid="{CBD921B7-E880-482B-8C45-A5A2934C06EA}"/>
    <cellStyle name="_IVP_Banking_Apr-Dec2005_SecUnit 3" xfId="3505" xr:uid="{95B09DD9-70F5-411D-8AD7-811DF5435CB2}"/>
    <cellStyle name="_IVP_Banking_Apr-Dec2005_SecUnit_Bank Recconcile 14 Oct 2016" xfId="3504" xr:uid="{BC0CDBE8-E149-4C99-81C7-DB2326B8DFF1}"/>
    <cellStyle name="_IVP_Banking_Apr-Dec2005_SecUnit_Bank Recconcile 15 Aug 31" xfId="3503" xr:uid="{88F5E657-A0FE-41FD-A839-B9986810F330}"/>
    <cellStyle name="_IVP_Banking_Apr-Dec2005_SecUnit_Bank Recconcile 17 Oct 2016" xfId="3502" xr:uid="{095F984A-7E45-481D-8851-F52F2F849D14}"/>
    <cellStyle name="_IVP_Banking_Apr-Dec2005_SecUnit_Bank Recconcile 2017 Jun_23" xfId="3501" xr:uid="{8286F2C3-535B-4CD9-A480-D35A659E9AF3}"/>
    <cellStyle name="_IVP_Banking_Apr-Dec2005_SecUnit_Bank Recconcile 2017 May_11" xfId="3500" xr:uid="{16CB36B4-440F-4380-BCD5-DDD64E4A91D4}"/>
    <cellStyle name="_IVP_Banking_Apr-Dec2005_SecUnit_Bank Recconcile 24 Jun 2016" xfId="3499" xr:uid="{F4872CD3-3695-4646-8C70-2FE931A548A8}"/>
    <cellStyle name="_IVP_Banking_Apr-Dec2005_SecUnit_Bank Recconcile 3 Aug 2016" xfId="3498" xr:uid="{C3E05E20-19EF-4342-B337-9CE6D2823321}"/>
    <cellStyle name="_IVP_Banking_Apr-Dec2005_SecUnit_LeadTB-Feb16" xfId="736" xr:uid="{E5D39541-FD09-4198-BC2F-07BEB773AE93}"/>
    <cellStyle name="_IVP_Banking_Apr-Dec2005_SecUnit_TB" xfId="3497" xr:uid="{A871A366-C37B-4EA8-B760-C98041A395E8}"/>
    <cellStyle name="_IVP_Banking_Apr-Dec2005_SecUnit1" xfId="343" xr:uid="{4B2F6DE8-B659-498A-BA66-5F2940518D29}"/>
    <cellStyle name="_IVP_Banking_Apr-Dec2005_SecUnit1 2" xfId="1435" xr:uid="{B36EC6B4-568B-4CD5-87D8-EE00614766CE}"/>
    <cellStyle name="_IVP_Banking_Apr-Dec2005_SecUnit1 3" xfId="3407" xr:uid="{9642D709-6B4F-43F3-BD97-1665C92219BB}"/>
    <cellStyle name="_IVP_Banking_Apr-Dec2005_SecUnit1_Bank Recconcile 14 Oct 2016" xfId="3406" xr:uid="{2D58C641-F295-4D91-A360-788FB57A87A7}"/>
    <cellStyle name="_IVP_Banking_Apr-Dec2005_SecUnit1_Bank Recconcile 15 Aug 31" xfId="3405" xr:uid="{944D064A-9D2E-4DAD-8C07-5CEDCAFDB451}"/>
    <cellStyle name="_IVP_Banking_Apr-Dec2005_SecUnit1_Bank Recconcile 17 Oct 2016" xfId="3404" xr:uid="{BA28386E-2BCF-4785-B7E3-78DAC20F891F}"/>
    <cellStyle name="_IVP_Banking_Apr-Dec2005_SecUnit1_Bank Recconcile 2017 Jun_23" xfId="3403" xr:uid="{98411B2E-4F23-47ED-8AC7-F750187950F8}"/>
    <cellStyle name="_IVP_Banking_Apr-Dec2005_SecUnit1_Bank Recconcile 2017 May_11" xfId="3402" xr:uid="{FADABCC1-1037-4FCD-A118-B1123E8ADFDE}"/>
    <cellStyle name="_IVP_Banking_Apr-Dec2005_SecUnit1_Bank Recconcile 24 Jun 2016" xfId="3496" xr:uid="{2CE2CB41-B3FC-4151-A5D4-2A6C2CAB0171}"/>
    <cellStyle name="_IVP_Banking_Apr-Dec2005_SecUnit1_Bank Recconcile 3 Aug 2016" xfId="3495" xr:uid="{6E69C146-BDE5-4427-92AB-A1DF3A549DBA}"/>
    <cellStyle name="_IVP_Banking_Apr-Dec2005_SecUnit1_LeadTB-Feb16" xfId="737" xr:uid="{5CFBDDE9-E272-4213-A0A9-F72514AA8939}"/>
    <cellStyle name="_IVP_Banking_Apr-Dec2005_SecUnit1_TB" xfId="3494" xr:uid="{5DE97413-39CC-44FF-A84C-9FB538581EEC}"/>
    <cellStyle name="_IVP_BIBF_Jun-Jul2006" xfId="870" xr:uid="{C387B46B-ED8A-4476-B731-0C41DD968D86}"/>
    <cellStyle name="_IVP_BIBF_Jun-Jul2006 2" xfId="1428" xr:uid="{DFF4A73A-6462-4910-A09F-388BAF8DAFF5}"/>
    <cellStyle name="_IVP_BIBF_Jun-Jul2006 3" xfId="3424" xr:uid="{09A7399E-D9BD-4365-BBBE-4F4C4DA5AEB3}"/>
    <cellStyle name="_IVP_BIBF_Jun-Jul2006_Bank Recconcile 14 Oct 2016" xfId="3401" xr:uid="{19B79EF9-1751-402A-B19E-C024B638D8B8}"/>
    <cellStyle name="_IVP_BIBF_Jun-Jul2006_Bank Recconcile 15 Aug 31" xfId="3493" xr:uid="{3AE16B4E-C73B-4F17-8650-D58A9F4EF971}"/>
    <cellStyle name="_IVP_BIBF_Jun-Jul2006_Bank Recconcile 17 Oct 2016" xfId="3492" xr:uid="{9C7A2FCD-AF07-4421-A19A-BD667737015D}"/>
    <cellStyle name="_IVP_BIBF_Jun-Jul2006_Bank Recconcile 2017 Jun_23" xfId="3491" xr:uid="{F740C620-E0C4-45EA-A6FF-6DCA7DB88D23}"/>
    <cellStyle name="_IVP_BIBF_Jun-Jul2006_Bank Recconcile 2017 May_11" xfId="3490" xr:uid="{9C2B94D8-E57A-42A0-A4C3-F9121E08A57E}"/>
    <cellStyle name="_IVP_BIBF_Jun-Jul2006_Bank Recconcile 24 Jun 2016" xfId="3489" xr:uid="{283C22BB-315F-4B67-A023-99C37609DCDF}"/>
    <cellStyle name="_IVP_BIBF_Jun-Jul2006_Bank Recconcile 3 Aug 2016" xfId="3488" xr:uid="{3C976068-8EA3-4D2A-B948-141A21E097D5}"/>
    <cellStyle name="_IVP_BIBF_Jun-Jul2006_LeadTB-Feb16" xfId="738" xr:uid="{A333E1D8-C55A-433F-951A-4FCDC3E70DAE}"/>
    <cellStyle name="_IVP_BIBF_Jun-Jul2006_TB" xfId="3487" xr:uid="{B604D46A-FB99-4AA6-AB75-7733DEFB1A3C}"/>
    <cellStyle name="_IVP_BIBF_Novc2005-SecUnit" xfId="696" xr:uid="{9C9894AC-39E0-4E46-A3E7-89894B9698A3}"/>
    <cellStyle name="_IVP_BIBF_Novc2005-SecUnit 2" xfId="1416" xr:uid="{9B06B4CC-54E3-4DF7-889F-019FA21173A8}"/>
    <cellStyle name="_IVP_BIBF_Novc2005-SecUnit 3" xfId="3486" xr:uid="{501D25C6-EEF3-40CB-8238-4A86E4B36386}"/>
    <cellStyle name="_IVP_BIBF_Novc2005-SecUnit_Bank Recconcile 14 Oct 2016" xfId="3485" xr:uid="{B2F9B214-8C19-4566-9733-931898E70622}"/>
    <cellStyle name="_IVP_BIBF_Novc2005-SecUnit_Bank Recconcile 15 Aug 31" xfId="3423" xr:uid="{4A5CBD82-A9A9-4B10-A79D-AC5814BF1183}"/>
    <cellStyle name="_IVP_BIBF_Novc2005-SecUnit_Bank Recconcile 17 Oct 2016" xfId="3422" xr:uid="{AE257FD3-FBFE-4EAD-9165-453E4ABF42F5}"/>
    <cellStyle name="_IVP_BIBF_Novc2005-SecUnit_Bank Recconcile 2017 Jun_23" xfId="3400" xr:uid="{311A067F-9652-43E5-82B0-7533E9F808CB}"/>
    <cellStyle name="_IVP_BIBF_Novc2005-SecUnit_Bank Recconcile 2017 May_11" xfId="3484" xr:uid="{ADFC798A-60ED-4767-A86B-D344B0A6FD6A}"/>
    <cellStyle name="_IVP_BIBF_Novc2005-SecUnit_Bank Recconcile 24 Jun 2016" xfId="3483" xr:uid="{73A65CDD-7FA2-4DE2-AE2E-AAEE4AE59B3B}"/>
    <cellStyle name="_IVP_BIBF_Novc2005-SecUnit_Bank Recconcile 3 Aug 2016" xfId="3399" xr:uid="{7720058B-2C12-4BB4-B1DB-BEBB60BF6AD7}"/>
    <cellStyle name="_IVP_BIBF_Novc2005-SecUnit_LeadTB-Feb16" xfId="678" xr:uid="{43A8B2E9-86B7-4FFF-9A8E-4BA55345CD83}"/>
    <cellStyle name="_IVP_BIBF_Novc2005-SecUnit_TB" xfId="3398" xr:uid="{D95EE232-8C11-4AC9-AE34-5F6D7567CEF7}"/>
    <cellStyle name="_IVP_CTB_BANKING_Apr2006" xfId="953" xr:uid="{35446408-1B3B-48DA-AF9F-D697A264B8A9}"/>
    <cellStyle name="_IVP_CTB_BANKING_Apr2006 2" xfId="1343" xr:uid="{D657AD24-E9D1-4948-AC2B-802F8D558EB1}"/>
    <cellStyle name="_IVP_CTB_BANKING_Apr2006 3" xfId="3397" xr:uid="{2BDB85DA-EF8E-4988-B3F0-1513C9C4DEBF}"/>
    <cellStyle name="_IVP_CTB_BANKING_Apr2006_Bank Recconcile 14 Oct 2016" xfId="3396" xr:uid="{E438FB59-32D7-4074-A623-FF4FA681353F}"/>
    <cellStyle name="_IVP_CTB_BANKING_Apr2006_Bank Recconcile 15 Aug 31" xfId="3395" xr:uid="{B8BA982A-4E2D-445F-8E37-7C721738792B}"/>
    <cellStyle name="_IVP_CTB_BANKING_Apr2006_Bank Recconcile 17 Oct 2016" xfId="3394" xr:uid="{98042715-E368-4504-964D-F9EF2CDE1645}"/>
    <cellStyle name="_IVP_CTB_BANKING_Apr2006_Bank Recconcile 2017 Jun_23" xfId="3393" xr:uid="{C3E799BD-D0EC-47F6-944F-BF4E7A393AB6}"/>
    <cellStyle name="_IVP_CTB_BANKING_Apr2006_Bank Recconcile 2017 May_11" xfId="3392" xr:uid="{E3E34D13-012E-4057-9DA3-F35C92CB5438}"/>
    <cellStyle name="_IVP_CTB_BANKING_Apr2006_Bank Recconcile 24 Jun 2016" xfId="3482" xr:uid="{70BD974C-F5C6-4B73-AAD3-500680EDA686}"/>
    <cellStyle name="_IVP_CTB_BANKING_Apr2006_Bank Recconcile 3 Aug 2016" xfId="3391" xr:uid="{71B6A040-D32D-4C9F-82DE-C19D44087F4D}"/>
    <cellStyle name="_IVP_CTB_BANKING_Apr2006_LeadTB-Feb16" xfId="739" xr:uid="{93332655-4DF3-4A76-97CE-67597177FBC2}"/>
    <cellStyle name="_IVP_CTB_BANKING_Apr2006_TB" xfId="3390" xr:uid="{1EB6D1CD-C1F2-480D-9450-F5B83FE4FAD6}"/>
    <cellStyle name="_IVP_CTB_BANKING_Aug2006" xfId="616" xr:uid="{7F848AF7-B857-4054-A2B7-10E7A05E3E01}"/>
    <cellStyle name="_IVP_CTB_BANKING_Aug2006 2" xfId="1336" xr:uid="{88D6C56E-9DD4-4EDB-85C0-30203AEC9E74}"/>
    <cellStyle name="_IVP_CTB_BANKING_Aug2006 3" xfId="3389" xr:uid="{2C05742D-8E5C-48A9-B208-4603796E75BE}"/>
    <cellStyle name="_IVP_CTB_BANKING_Aug2006_Bank Recconcile 14 Oct 2016" xfId="3388" xr:uid="{654431A6-EBE7-4B02-BC5D-19C6E88F22F4}"/>
    <cellStyle name="_IVP_CTB_BANKING_Aug2006_Bank Recconcile 15 Aug 31" xfId="3387" xr:uid="{2DD55D1E-45AE-41DF-A334-65192CF80EB6}"/>
    <cellStyle name="_IVP_CTB_BANKING_Aug2006_Bank Recconcile 17 Oct 2016" xfId="3386" xr:uid="{B9568466-AEC7-4D11-B3CD-6F1680BEB92E}"/>
    <cellStyle name="_IVP_CTB_BANKING_Aug2006_Bank Recconcile 2017 Jun_23" xfId="3385" xr:uid="{6C0AD16B-13E6-4249-BB44-2BCB4D1A044D}"/>
    <cellStyle name="_IVP_CTB_BANKING_Aug2006_Bank Recconcile 2017 May_11" xfId="3384" xr:uid="{CC0F205F-DD0B-4E85-9692-98FC7FEFAE24}"/>
    <cellStyle name="_IVP_CTB_BANKING_Aug2006_Bank Recconcile 24 Jun 2016" xfId="3383" xr:uid="{6A196638-9397-4490-9B80-1C6A960F329B}"/>
    <cellStyle name="_IVP_CTB_BANKING_Aug2006_Bank Recconcile 3 Aug 2016" xfId="3481" xr:uid="{5C0B0257-168B-4AD4-AAC9-06EE0E3F40A6}"/>
    <cellStyle name="_IVP_CTB_BANKING_Aug2006_LeadTB-Feb16" xfId="963" xr:uid="{E3CC9E3E-A278-4800-B7CE-575552B9AA0D}"/>
    <cellStyle name="_IVP_CTB_BANKING_Aug2006_TB" xfId="3382" xr:uid="{AE695180-AFBD-48B6-AD6B-04A32E7359D4}"/>
    <cellStyle name="_IVP_CTB_BANKING_Dec2006" xfId="697" xr:uid="{60EEEF20-963C-4398-B4F2-A47703C2B189}"/>
    <cellStyle name="_IVP_CTB_BANKING_Dec2006 2" xfId="1332" xr:uid="{031C461D-0675-4EA3-B5C7-0EB3D1ED79B2}"/>
    <cellStyle name="_IVP_CTB_BANKING_Dec2006 3" xfId="3421" xr:uid="{505E6E8A-80F8-4767-A7C2-D9F9DB8FB9BC}"/>
    <cellStyle name="_IVP_CTB_BANKING_Dec2006_Bank Recconcile 14 Oct 2016" xfId="3381" xr:uid="{1D3ECD5B-2241-4C64-9AC6-17EC2E357AE5}"/>
    <cellStyle name="_IVP_CTB_BANKING_Dec2006_Bank Recconcile 15 Aug 31" xfId="3380" xr:uid="{CE2E885F-2801-4AAF-9008-F7B87930BC0D}"/>
    <cellStyle name="_IVP_CTB_BANKING_Dec2006_Bank Recconcile 17 Oct 2016" xfId="3379" xr:uid="{3BDD59EE-14FC-4CFF-BF5D-EDD08C9198A3}"/>
    <cellStyle name="_IVP_CTB_BANKING_Dec2006_Bank Recconcile 2017 Jun_23" xfId="3378" xr:uid="{5459ADEC-FAF0-4BD4-8C2F-3F75AD8E90B6}"/>
    <cellStyle name="_IVP_CTB_BANKING_Dec2006_Bank Recconcile 2017 May_11" xfId="3377" xr:uid="{2A3B4A3C-CC9E-45DB-8AF3-8ACF04DDA488}"/>
    <cellStyle name="_IVP_CTB_BANKING_Dec2006_Bank Recconcile 24 Jun 2016" xfId="3376" xr:uid="{1AF43BE0-891B-409E-A5DC-47A0645B7D6D}"/>
    <cellStyle name="_IVP_CTB_BANKING_Dec2006_Bank Recconcile 3 Aug 2016" xfId="3375" xr:uid="{8BA116AB-2DD6-4CE7-A8FF-F1F137F30B98}"/>
    <cellStyle name="_IVP_CTB_BANKING_Dec2006_LeadTB-Feb16" xfId="956" xr:uid="{FD967530-1612-4F16-AA89-7808D0F7107E}"/>
    <cellStyle name="_IVP_CTB_BANKING_Dec2006_TB" xfId="3374" xr:uid="{F5F6DCE0-0081-4FE8-A683-E1553DC208B7}"/>
    <cellStyle name="_IVP_CTB_BANKING_FI_Oct2006" xfId="771" xr:uid="{2C84DEEE-F33C-451B-A603-25EEB6F304EC}"/>
    <cellStyle name="_IVP_CTB_BANKING_FI_Oct2006 2" xfId="1318" xr:uid="{AAB78B95-0227-4EF3-AC92-F7FF37ED4D7A}"/>
    <cellStyle name="_IVP_CTB_BANKING_FI_Oct2006 3" xfId="3373" xr:uid="{55EBEFFF-6A15-4D50-8A49-EBC10F8912BA}"/>
    <cellStyle name="_IVP_CTB_BANKING_FI_Oct2006_Bank Recconcile 14 Oct 2016" xfId="3372" xr:uid="{D1CF3079-63D4-4A6A-BE71-F020E7A226D7}"/>
    <cellStyle name="_IVP_CTB_BANKING_FI_Oct2006_Bank Recconcile 15 Aug 31" xfId="3371" xr:uid="{1451ED47-3E09-486A-8395-A419C4111817}"/>
    <cellStyle name="_IVP_CTB_BANKING_FI_Oct2006_Bank Recconcile 17 Oct 2016" xfId="3370" xr:uid="{820663DB-A278-470D-85EA-9B9E4A6F8841}"/>
    <cellStyle name="_IVP_CTB_BANKING_FI_Oct2006_Bank Recconcile 2017 Jun_23" xfId="3369" xr:uid="{B48DAACF-596D-45A1-BA03-2C69A87128CB}"/>
    <cellStyle name="_IVP_CTB_BANKING_FI_Oct2006_Bank Recconcile 2017 May_11" xfId="3368" xr:uid="{EBBC43A2-AE4F-4D5A-871B-2CC5A032176C}"/>
    <cellStyle name="_IVP_CTB_BANKING_FI_Oct2006_Bank Recconcile 24 Jun 2016" xfId="3367" xr:uid="{9C02F5F8-C65E-4169-9E3B-CEE19617C004}"/>
    <cellStyle name="_IVP_CTB_BANKING_FI_Oct2006_Bank Recconcile 3 Aug 2016" xfId="3366" xr:uid="{CE0F9252-4307-4555-953F-CB1D6A98FD5A}"/>
    <cellStyle name="_IVP_CTB_BANKING_FI_Oct2006_LeadTB-Feb16" xfId="924" xr:uid="{7F1DC617-58B6-46B0-A304-7A19403AD59C}"/>
    <cellStyle name="_IVP_CTB_BANKING_FI_Oct2006_TB" xfId="3365" xr:uid="{76808D81-A0AD-4D5A-BC0C-8BAEAA34996B}"/>
    <cellStyle name="_IVP_CTB_BANKING_Jul2006" xfId="624" xr:uid="{0E1926C4-F1F9-4B8D-9091-45D26BF86A21}"/>
    <cellStyle name="_IVP_CTB_BANKING_Jul2006 2" xfId="1317" xr:uid="{F044CF57-1918-449A-A9A1-819D08AFA061}"/>
    <cellStyle name="_IVP_CTB_BANKING_Jul2006 3" xfId="3364" xr:uid="{023F6EE9-5683-4361-9036-032CF7B65CA9}"/>
    <cellStyle name="_IVP_CTB_BANKING_Jul2006_Bank Recconcile 14 Oct 2016" xfId="3363" xr:uid="{BD4DB70F-9DDE-4571-B301-14F862D727F3}"/>
    <cellStyle name="_IVP_CTB_BANKING_Jul2006_Bank Recconcile 15 Aug 31" xfId="3362" xr:uid="{522D70B7-8559-4EC4-9027-95276A9C441A}"/>
    <cellStyle name="_IVP_CTB_BANKING_Jul2006_Bank Recconcile 17 Oct 2016" xfId="3361" xr:uid="{A294CD43-6A72-4127-886A-4B8A1F606204}"/>
    <cellStyle name="_IVP_CTB_BANKING_Jul2006_Bank Recconcile 2017 Jun_23" xfId="3360" xr:uid="{5548E316-5268-457E-B276-9D1E49288B5A}"/>
    <cellStyle name="_IVP_CTB_BANKING_Jul2006_Bank Recconcile 2017 May_11" xfId="3578" xr:uid="{5E66423C-8D15-4315-9986-EABA8AF30359}"/>
    <cellStyle name="_IVP_CTB_BANKING_Jul2006_Bank Recconcile 24 Jun 2016" xfId="3566" xr:uid="{AE0C80D4-3FE7-4F3F-B3B1-D0F2C4EEF48D}"/>
    <cellStyle name="_IVP_CTB_BANKING_Jul2006_Bank Recconcile 3 Aug 2016" xfId="3563" xr:uid="{3246B988-6B66-47A1-ABC0-CEE5FA3D62DF}"/>
    <cellStyle name="_IVP_CTB_BANKING_Jul2006_LeadTB-Feb16" xfId="833" xr:uid="{F19853A1-663D-40C6-81B5-6D3665B66C8E}"/>
    <cellStyle name="_IVP_CTB_BANKING_Jul2006_TB" xfId="3548" xr:uid="{7166F598-5658-4AB2-9EE7-8ACD660E6B95}"/>
    <cellStyle name="_IVP_CTB_BANKING_Jun2006" xfId="836" xr:uid="{A67E69AF-06CB-49DB-8D4C-D1D1B8FA815B}"/>
    <cellStyle name="_IVP_CTB_BANKING_Jun2006 2" xfId="1308" xr:uid="{CEA29D19-97CA-46E8-A14E-26F46654AECB}"/>
    <cellStyle name="_IVP_CTB_BANKING_Jun2006 3" xfId="3359" xr:uid="{6301ACDF-8B20-4CAB-97CE-6925771C514A}"/>
    <cellStyle name="_IVP_CTB_BANKING_Jun2006_Bank Recconcile 14 Oct 2016" xfId="3547" xr:uid="{0725D5DC-7DE2-4102-8094-C7932DBFAAE8}"/>
    <cellStyle name="_IVP_CTB_BANKING_Jun2006_Bank Recconcile 15 Aug 31" xfId="3543" xr:uid="{CE279BEF-F063-409C-93C7-19FC4CA45D02}"/>
    <cellStyle name="_IVP_CTB_BANKING_Jun2006_Bank Recconcile 17 Oct 2016" xfId="3531" xr:uid="{C49A8191-4FB6-4926-8418-B4705967F0EE}"/>
    <cellStyle name="_IVP_CTB_BANKING_Jun2006_Bank Recconcile 2017 Jun_23" xfId="3537" xr:uid="{E8CC0BE5-D437-47BE-A3E0-9F0D186C0013}"/>
    <cellStyle name="_IVP_CTB_BANKING_Jun2006_Bank Recconcile 2017 May_11" xfId="3525" xr:uid="{F787C9AB-EB6E-4F42-877E-ED1D29CFFE62}"/>
    <cellStyle name="_IVP_CTB_BANKING_Jun2006_Bank Recconcile 24 Jun 2016" xfId="3512" xr:uid="{909A543F-FADD-4A4C-9990-02DEDB3DC032}"/>
    <cellStyle name="_IVP_CTB_BANKING_Jun2006_Bank Recconcile 3 Aug 2016" xfId="3454" xr:uid="{2E9319A0-0BAE-48FE-98CD-6A30F67BCC5C}"/>
    <cellStyle name="_IVP_CTB_BANKING_Jun2006_LeadTB-Feb16" xfId="740" xr:uid="{0C7C3567-B3BE-4C40-8815-73BEAC615067}"/>
    <cellStyle name="_IVP_CTB_BANKING_Jun2006_TB" xfId="3453" xr:uid="{F9FAB007-A650-4813-A559-A13C5B741BFB}"/>
    <cellStyle name="_IVP_CTB_BANKING_May2006" xfId="869" xr:uid="{EB8E087F-B497-4747-BFFA-FFA480E45CA4}"/>
    <cellStyle name="_IVP_CTB_BANKING_May2006 2" xfId="1301" xr:uid="{E9DE30BF-E759-4EF4-AE47-4420760F3B1A}"/>
    <cellStyle name="_IVP_CTB_BANKING_May2006 3" xfId="3358" xr:uid="{0612331C-B5AF-4E81-A243-0DE7C1AD8502}"/>
    <cellStyle name="_IVP_CTB_BANKING_May2006_Bank Recconcile 14 Oct 2016" xfId="3357" xr:uid="{5943DF76-189F-4B41-A958-7C506E5E91B6}"/>
    <cellStyle name="_IVP_CTB_BANKING_May2006_Bank Recconcile 15 Aug 31" xfId="3356" xr:uid="{B745AE18-1C68-4BFB-BDA2-0513221EC9E1}"/>
    <cellStyle name="_IVP_CTB_BANKING_May2006_Bank Recconcile 17 Oct 2016" xfId="3420" xr:uid="{068085D5-7CAE-4EF8-816B-6BDF713DABBB}"/>
    <cellStyle name="_IVP_CTB_BANKING_May2006_Bank Recconcile 2017 Jun_23" xfId="3355" xr:uid="{8CB8E99B-A5CE-4E8E-86B6-7B25FF9BA059}"/>
    <cellStyle name="_IVP_CTB_BANKING_May2006_Bank Recconcile 2017 May_11" xfId="3354" xr:uid="{3BCE8DD5-7316-4D9E-80EB-CCB5D51879F5}"/>
    <cellStyle name="_IVP_CTB_BANKING_May2006_Bank Recconcile 24 Jun 2016" xfId="3353" xr:uid="{59083918-8874-49DB-B6E4-83C388A4854C}"/>
    <cellStyle name="_IVP_CTB_BANKING_May2006_Bank Recconcile 3 Aug 2016" xfId="3352" xr:uid="{4B8EAF84-C2A5-4525-A01A-D9D98AA9CCCE}"/>
    <cellStyle name="_IVP_CTB_BANKING_May2006_LeadTB-Feb16" xfId="936" xr:uid="{8D2606B8-F853-4EEB-93C4-0328B4DE41E8}"/>
    <cellStyle name="_IVP_CTB_BANKING_May2006_TB" xfId="3351" xr:uid="{4B82CFCA-7C00-4719-AA21-CA2BC66BD338}"/>
    <cellStyle name="_IVP_CTB_BANKING_Nov2006" xfId="873" xr:uid="{73F6D4F4-ADF4-42E8-86E6-0E343F8A3BF9}"/>
    <cellStyle name="_IVP_CTB_BANKING_Nov2006 2" xfId="1297" xr:uid="{A1D27005-FD4E-49D5-ABB0-ADE7143D50B7}"/>
    <cellStyle name="_IVP_CTB_BANKING_Nov2006 3" xfId="3350" xr:uid="{9029A6E3-AF7E-4F0A-BE0B-68CDF4AFBBD8}"/>
    <cellStyle name="_IVP_CTB_BANKING_Nov2006_Bank Recconcile 14 Oct 2016" xfId="3349" xr:uid="{2D77D63E-8BE9-444E-8244-22BB8643182C}"/>
    <cellStyle name="_IVP_CTB_BANKING_Nov2006_Bank Recconcile 15 Aug 31" xfId="3348" xr:uid="{FCF616B9-87B6-493A-866B-FA011618956E}"/>
    <cellStyle name="_IVP_CTB_BANKING_Nov2006_Bank Recconcile 17 Oct 2016" xfId="3347" xr:uid="{032F3821-DC39-40C5-BE71-F7E0AE65CA74}"/>
    <cellStyle name="_IVP_CTB_BANKING_Nov2006_Bank Recconcile 2017 Jun_23" xfId="3346" xr:uid="{B41FAC01-10D0-43DB-A2C6-E5D1C39E5D4A}"/>
    <cellStyle name="_IVP_CTB_BANKING_Nov2006_Bank Recconcile 2017 May_11" xfId="3345" xr:uid="{F21D8D30-9524-4951-A7ED-98F31A24FAF2}"/>
    <cellStyle name="_IVP_CTB_BANKING_Nov2006_Bank Recconcile 24 Jun 2016" xfId="3344" xr:uid="{84047B3B-89EA-4902-ABC0-F8C6A1AF815B}"/>
    <cellStyle name="_IVP_CTB_BANKING_Nov2006_Bank Recconcile 3 Aug 2016" xfId="3343" xr:uid="{FCA6E57B-1AED-44C0-9DEC-CC2CB8FE3C23}"/>
    <cellStyle name="_IVP_CTB_BANKING_Nov2006_LeadTB-Feb16" xfId="943" xr:uid="{D9944DB0-8EF3-4603-8169-5E11ACC0ADFE}"/>
    <cellStyle name="_IVP_CTB_BANKING_Nov2006_TB" xfId="3342" xr:uid="{AE071D66-C2D3-4F3D-B129-C346F75CE506}"/>
    <cellStyle name="_IVP_CTB_BANKING_SEP2006" xfId="670" xr:uid="{3D2358EE-F23C-423F-9E1F-AFD14D9759BC}"/>
    <cellStyle name="_IVP_CTB_BANKING_SEP2006 2" xfId="1293" xr:uid="{8C439325-EEEB-46ED-9A58-55E8A0B78860}"/>
    <cellStyle name="_IVP_CTB_BANKING_SEP2006 3" xfId="3480" xr:uid="{AEBB167B-C51A-422B-BD7F-FCA0FCDD31C3}"/>
    <cellStyle name="_IVP_CTB_BANKING_SEP2006_Bank Recconcile 14 Oct 2016" xfId="3479" xr:uid="{49189A99-75ED-435C-A7BA-5CC71730C7FC}"/>
    <cellStyle name="_IVP_CTB_BANKING_SEP2006_Bank Recconcile 15 Aug 31" xfId="3341" xr:uid="{9EDC2BDE-36D2-45EE-A418-FD46F717779A}"/>
    <cellStyle name="_IVP_CTB_BANKING_SEP2006_Bank Recconcile 17 Oct 2016" xfId="3340" xr:uid="{09438DF7-98AF-45B4-A0A8-20B6E42F41BB}"/>
    <cellStyle name="_IVP_CTB_BANKING_SEP2006_Bank Recconcile 2017 Jun_23" xfId="3339" xr:uid="{8A91768C-14B3-4675-AD20-146451382AD9}"/>
    <cellStyle name="_IVP_CTB_BANKING_SEP2006_Bank Recconcile 2017 May_11" xfId="3338" xr:uid="{844C0D40-1A87-4A03-B3F3-2328FFB49A4C}"/>
    <cellStyle name="_IVP_CTB_BANKING_SEP2006_Bank Recconcile 24 Jun 2016" xfId="3337" xr:uid="{C953B5AE-210A-40CA-A9BC-5F63061FA8FD}"/>
    <cellStyle name="_IVP_CTB_BANKING_SEP2006_Bank Recconcile 3 Aug 2016" xfId="3336" xr:uid="{54DFB757-D6C1-40C7-B6C8-0969AA024C4E}"/>
    <cellStyle name="_IVP_CTB_BANKING_SEP2006_LeadTB-Feb16" xfId="620" xr:uid="{60C5F7E1-60E0-4209-87EB-5C1EE93D321C}"/>
    <cellStyle name="_IVP_CTB_BANKING_SEP2006_TB" xfId="3335" xr:uid="{C60C6670-8E62-46CD-A6F5-45F08E089E61}"/>
    <cellStyle name="_Komatsu-year ended '06 (version 1)" xfId="2006" xr:uid="{CC29B933-A004-4E41-8C16-C9CE30CF3629}"/>
    <cellStyle name="_Lead sheet mahisorn 300908" xfId="2005" xr:uid="{6F7A485C-FCBD-4BC9-8334-9977E65E2C03}"/>
    <cellStyle name="_lead_CS_HY08_up" xfId="2004" xr:uid="{495CD38C-8121-4457-9FF4-FDDC5D7396F7}"/>
    <cellStyle name="_LIZ001_Lead_31Dec08" xfId="2003" xr:uid="{92FA6913-A336-4F6F-B2F8-D139356F34E4}"/>
    <cellStyle name="_Multiple" xfId="424" xr:uid="{3A00080D-195E-4EE0-80AB-EC397054348B}"/>
    <cellStyle name="_Multiple 2" xfId="1292" xr:uid="{58389A7A-618C-4E2A-9B59-9ECD12A8E0DF}"/>
    <cellStyle name="_MultipleSpace" xfId="213" xr:uid="{0CF531AA-FFFE-42AE-9408-732135111D7F}"/>
    <cellStyle name="_MultipleSpace 2" xfId="1291" xr:uid="{4513923F-7F62-40F5-B390-B96003E16B5A}"/>
    <cellStyle name="_SAP Payroll_CPN" xfId="746" xr:uid="{C7D41292-41F4-47A3-983E-02CBF0B2D79A}"/>
    <cellStyle name="_SCBS - WPs_Oui" xfId="804" xr:uid="{4E57B327-0F2D-45D7-AF9C-90972572778C}"/>
    <cellStyle name="_SCBS - WPs_Oui 2" xfId="1290" xr:uid="{BD996320-3017-4045-BDD2-48C17CB99755}"/>
    <cellStyle name="_SCH_Lead 31Dec08 PY" xfId="2002" xr:uid="{2B214F05-EB2C-48AF-B413-ED6A299F24A8}"/>
    <cellStyle name="_SubHeading" xfId="812" xr:uid="{811CD370-7F31-4DDB-B6BF-8450990B265D}"/>
    <cellStyle name="_Summary_Prod_Cust_Cntry-2002-v2_Forecast_Model 2006_ITG_1_B2012- CAPEX &amp; MA_revised2" xfId="1606" xr:uid="{58652DE5-4861-44F5-96AB-0DB647F4407A}"/>
    <cellStyle name="_Table" xfId="759" xr:uid="{EFA91160-5806-44A2-AC0F-41C8B7CDDBCA}"/>
    <cellStyle name="_TableHead" xfId="767" xr:uid="{02C89FD7-B504-4E93-9C14-11E2F284871D}"/>
    <cellStyle name="_TableRowHead" xfId="235" xr:uid="{6FDB0F04-A3A5-452B-8603-99C1142E03BF}"/>
    <cellStyle name="_TableSuperHead" xfId="704" xr:uid="{1611EDCA-A0D1-4938-98EC-32A1A4B42572}"/>
    <cellStyle name="_update" xfId="2001" xr:uid="{A6164278-61F5-4D43-B18A-4C31D7D377C4}"/>
    <cellStyle name="_WP_big" xfId="2000" xr:uid="{4C8A97B4-D81F-4C10-93AA-9CF8B82F1CE3}"/>
    <cellStyle name="_WP_PY_ Tawanron" xfId="1999" xr:uid="{962D2F68-218D-410B-9FED-175B64621653}"/>
    <cellStyle name="’??? [0.00]_TMCA Spreadsheet(body)" xfId="689" xr:uid="{11645EA7-8263-4920-BF1E-064D683AD1EE}"/>
    <cellStyle name="’???_TMCA Spreadsheet(body)" xfId="773" xr:uid="{6CB4939F-6969-4659-A45C-7976FE1F3820}"/>
    <cellStyle name="=C:\WINNT\SYSTEM32\COMMAND.COM" xfId="832" xr:uid="{6646DB8F-8E14-4663-B1EA-AC3484CA4BD8}"/>
    <cellStyle name="=C:\WINNT\SYSTEM32\COMMAND.COM 2" xfId="207" xr:uid="{E4D82731-CFD0-4872-96A9-F2F62D4F04F1}"/>
    <cellStyle name="=C:\WINNT\SYSTEM32\COMMAND.COM 2 2" xfId="1735" xr:uid="{D9C6F0A3-5ADC-478C-8242-43790A1D8317}"/>
    <cellStyle name="=C:\WINNT\SYSTEM32\COMMAND.COM 2 3" xfId="1258" xr:uid="{C402EABC-8FE1-4402-8F9B-21A648705195}"/>
    <cellStyle name="=C:\WINNT\SYSTEM32\COMMAND.COM 3" xfId="3414" xr:uid="{36E9BD54-83D3-438C-AC72-F58CEBC421B4}"/>
    <cellStyle name="=C:\WINNT\SYSTEM32\COMMAND.COM 4" xfId="3478" xr:uid="{6E33E14A-7FF7-4791-A148-542136946EB9}"/>
    <cellStyle name="=C:\WINNT\SYSTEM32\COMMAND.COM 5" xfId="755" xr:uid="{C17695CE-07E5-48ED-B8F4-6705B64837CC}"/>
    <cellStyle name="=C:\WINNT\SYSTEM32\COMMAND.COM_Bank Recconcile 14 Oct 2016" xfId="3426" xr:uid="{C75019C1-5174-4681-9445-D8901988956E}"/>
    <cellStyle name="•W?_TMCA Spreadsheet(body)" xfId="931" xr:uid="{BFF0BE44-BD26-4C48-81DA-FAEACEAD30E3}"/>
    <cellStyle name="0,0_x000d__x000a_NA_x000d__x000a_" xfId="1552" xr:uid="{DE12671C-5675-475C-9B57-22CF23D0C124}"/>
    <cellStyle name="0,0_x000d__x000a_NA_x000d__x000a_ 2" xfId="1553" xr:uid="{2F27DEA8-D983-4573-8C28-EE4EE98A75D5}"/>
    <cellStyle name="0,0_x000d__x000a_NA_x000d__x000a_ 2 2" xfId="7253" xr:uid="{289C187F-18CD-421E-8721-3B99814971A5}"/>
    <cellStyle name="0,0_x000d__x000a_NA_x000d__x000a_ 3" xfId="7241" xr:uid="{64DC5DC5-A0F7-41CD-9EC5-9BFF63AEB5BE}"/>
    <cellStyle name="0,0_x000d__x000a_NA_x000d__x000a__Financial Database_2011" xfId="1554" xr:uid="{52568A5F-5578-4336-B531-42D7F1A2B9FD}"/>
    <cellStyle name="20% - Accent1 2" xfId="41" xr:uid="{C041E511-1F4F-41C5-A721-C75AE487DD06}"/>
    <cellStyle name="20% - Accent1 2 2" xfId="516" xr:uid="{12F70CF6-A867-46C7-B698-175A74254BEA}"/>
    <cellStyle name="20% - Accent1 2 2 2" xfId="1180" xr:uid="{CF12FE01-40A1-408D-A821-929360E608E1}"/>
    <cellStyle name="20% - Accent1 2 3" xfId="4768" xr:uid="{D708415B-9297-4B88-BAF2-FA4600B05942}"/>
    <cellStyle name="20% - Accent1 2 3 2" xfId="6021" xr:uid="{868805E5-84C0-4058-97D2-9B635DD6F8D5}"/>
    <cellStyle name="20% - Accent1 2 4" xfId="3938" xr:uid="{D5A7AAF2-8720-4FD1-9395-BD17CAC8F241}"/>
    <cellStyle name="20% - Accent1 2 5" xfId="3528" xr:uid="{F279C631-CF88-4FCC-8E6A-E0B8BEF46ADB}"/>
    <cellStyle name="20% - Accent1 2 6" xfId="930" xr:uid="{3B4D9FAD-E55E-4D09-9A8B-51E76FECB73A}"/>
    <cellStyle name="20% - Accent1 2 7" xfId="7146" xr:uid="{A8EE9A11-0E51-4C20-B215-6D1D4CC26160}"/>
    <cellStyle name="20% - Accent1 2 8" xfId="7274" xr:uid="{1752613D-9313-4536-82FF-3E9E6547B518}"/>
    <cellStyle name="20% - Accent1 3" xfId="559" xr:uid="{E9F9F797-1F2A-4AC8-AAF0-55F269B751E8}"/>
    <cellStyle name="20% - Accent1 3 2" xfId="4728" xr:uid="{62F7977D-637C-46FF-A61C-6D41FB558174}"/>
    <cellStyle name="20% - Accent1 3 3" xfId="4077" xr:uid="{41871D40-B2AE-4D60-991A-F5B9C7354D64}"/>
    <cellStyle name="20% - Accent1 3 4" xfId="3429" xr:uid="{223DF922-3683-4B48-A68A-865BA473282C}"/>
    <cellStyle name="20% - Accent1 3 5" xfId="1181" xr:uid="{D1FBD3F9-047C-43A6-A061-813154A6858B}"/>
    <cellStyle name="20% - Accent1 3 6" xfId="7281" xr:uid="{C4F67CFA-756C-4352-B939-D670700EA45B}"/>
    <cellStyle name="20% - Accent1 4" xfId="500" xr:uid="{0C28113A-FDB3-47A2-84F7-862E978E76C2}"/>
    <cellStyle name="20% - Accent2 2" xfId="43" xr:uid="{2F8CB47A-11BE-4583-BD64-8CE12A9B8CC6}"/>
    <cellStyle name="20% - Accent2 2 2" xfId="517" xr:uid="{D5DF6F51-51BC-438C-839C-60CE0AB73A98}"/>
    <cellStyle name="20% - Accent2 2 2 2" xfId="1182" xr:uid="{8A3F9A78-C4A1-4608-95E1-7F4C0E271786}"/>
    <cellStyle name="20% - Accent2 2 3" xfId="4727" xr:uid="{068C44FC-6B12-49F6-A9DB-E6B8A9153C7A}"/>
    <cellStyle name="20% - Accent2 2 3 2" xfId="6022" xr:uid="{F0B971E8-48B3-4D4E-A13C-930A6EACF1DB}"/>
    <cellStyle name="20% - Accent2 2 4" xfId="3939" xr:uid="{6E697117-B1A3-495D-8D8B-893570302BCF}"/>
    <cellStyle name="20% - Accent2 2 5" xfId="3428" xr:uid="{4E482A8B-F25C-41E8-A69F-1F5C99ABD0AB}"/>
    <cellStyle name="20% - Accent2 2 6" xfId="794" xr:uid="{D5502621-F96A-4FB3-90CA-5C3DD1E7B021}"/>
    <cellStyle name="20% - Accent2 2 7" xfId="7203" xr:uid="{30CE4905-4470-44A5-A9EC-E7C0A4B406BB}"/>
    <cellStyle name="20% - Accent2 2 8" xfId="7205" xr:uid="{973D5A43-17CD-4BE2-9D6D-9856B2B416E9}"/>
    <cellStyle name="20% - Accent2 3" xfId="560" xr:uid="{36131E8D-3A06-491C-8A07-6333DFE7A306}"/>
    <cellStyle name="20% - Accent2 3 2" xfId="1183" xr:uid="{EB8FB0E8-15A9-4646-96AE-28A2EFC67DFD}"/>
    <cellStyle name="20% - Accent2 3 3" xfId="7247" xr:uid="{01DDF080-3194-4DFE-8C7C-469BAE8C2112}"/>
    <cellStyle name="20% - Accent2 4" xfId="501" xr:uid="{267C12F3-31A0-4275-B1BA-28FA80963535}"/>
    <cellStyle name="20% - Accent3 2" xfId="38" xr:uid="{34C4AF5E-9AD4-4BC8-8D8A-DEA96FFC1414}"/>
    <cellStyle name="20% - Accent3 2 2" xfId="518" xr:uid="{C931C149-3E1C-4684-A419-84F959BA0C32}"/>
    <cellStyle name="20% - Accent3 2 2 2" xfId="1184" xr:uid="{EC42DCC5-30E0-481A-B188-876C9ECDAE3A}"/>
    <cellStyle name="20% - Accent3 2 3" xfId="4719" xr:uid="{D3E6EDBF-CED9-4916-BDE1-894005D15937}"/>
    <cellStyle name="20% - Accent3 2 3 2" xfId="6023" xr:uid="{2669E083-9716-432E-9347-E9479F0E428F}"/>
    <cellStyle name="20% - Accent3 2 4" xfId="3940" xr:uid="{F173DE25-A5EC-4EDC-A152-88A5D19E6A7E}"/>
    <cellStyle name="20% - Accent3 2 5" xfId="3334" xr:uid="{A4A4F117-A3DF-4052-A739-9D655803C3F9}"/>
    <cellStyle name="20% - Accent3 2 6" xfId="921" xr:uid="{F628FA00-5EC9-4639-9226-04D7E1CC756A}"/>
    <cellStyle name="20% - Accent3 2 7" xfId="7188" xr:uid="{EE4923D2-538A-466E-A500-2F0F1235AC22}"/>
    <cellStyle name="20% - Accent3 2 8" xfId="7312" xr:uid="{6863B388-A842-4FCE-AE2A-8FE5E11E4F05}"/>
    <cellStyle name="20% - Accent3 3" xfId="561" xr:uid="{40D5EA50-BD4F-4BFA-AF06-03C5193B96B7}"/>
    <cellStyle name="20% - Accent3 3 2" xfId="4718" xr:uid="{A065AA42-F416-479E-B047-A454D40DDE4D}"/>
    <cellStyle name="20% - Accent3 3 3" xfId="4078" xr:uid="{BD5CFCDA-C472-4CE8-88F9-44E52A2F0555}"/>
    <cellStyle name="20% - Accent3 3 4" xfId="3333" xr:uid="{0F9E2632-84E1-491A-95C0-E87A4CD0CBCC}"/>
    <cellStyle name="20% - Accent3 3 5" xfId="1185" xr:uid="{C55F2103-BF05-4B18-BC00-EFDABDC343A5}"/>
    <cellStyle name="20% - Accent3 3 6" xfId="7221" xr:uid="{FE4F379E-69F4-47AF-9CDA-39D2858BD9C9}"/>
    <cellStyle name="20% - Accent3 4" xfId="502" xr:uid="{16FDC66A-5365-47A0-8414-A972C185BC7F}"/>
    <cellStyle name="20% - Accent4 2" xfId="42" xr:uid="{791239BF-F3D4-45B8-B05B-0EB8E1C75A95}"/>
    <cellStyle name="20% - Accent4 2 2" xfId="519" xr:uid="{976110FE-5F35-41F3-9885-FA5BCF516BF7}"/>
    <cellStyle name="20% - Accent4 2 2 2" xfId="1186" xr:uid="{BB07493C-AC0F-4598-A505-D00B8CE31E8A}"/>
    <cellStyle name="20% - Accent4 2 3" xfId="4717" xr:uid="{3FC6AECE-BA4E-4D4E-8A14-AAAB1415889C}"/>
    <cellStyle name="20% - Accent4 2 3 2" xfId="6024" xr:uid="{39478C7F-4E41-4070-92BA-1C2251979A9B}"/>
    <cellStyle name="20% - Accent4 2 4" xfId="3941" xr:uid="{91AAD8C0-0891-4069-9541-11D9103F9C79}"/>
    <cellStyle name="20% - Accent4 2 5" xfId="3332" xr:uid="{3229D30D-1BC9-4011-8816-AB8542BC4F99}"/>
    <cellStyle name="20% - Accent4 2 6" xfId="665" xr:uid="{81D6EAAF-1844-4BF2-A36A-37B9578A1FA2}"/>
    <cellStyle name="20% - Accent4 2 7" xfId="7269" xr:uid="{C883AC18-A8D2-452C-B8E1-70BAA183F2FB}"/>
    <cellStyle name="20% - Accent4 2 8" xfId="7004" xr:uid="{8E1A8944-47C1-4A0B-87F9-E1A19BDB3AAF}"/>
    <cellStyle name="20% - Accent4 3" xfId="562" xr:uid="{CF572622-0475-4C15-B2ED-F24C40F92A81}"/>
    <cellStyle name="20% - Accent4 3 2" xfId="4716" xr:uid="{D2937DF8-7F3E-49B8-AFC9-43F1F6D4E941}"/>
    <cellStyle name="20% - Accent4 3 3" xfId="4079" xr:uid="{1D264955-8E26-4F35-958F-EFA64E8DB772}"/>
    <cellStyle name="20% - Accent4 3 4" xfId="3331" xr:uid="{E815584C-1F33-4DA8-B982-C6CD93CD796F}"/>
    <cellStyle name="20% - Accent4 3 5" xfId="1187" xr:uid="{53A821B1-3DC2-4DC3-8E32-D5CC0A3494D8}"/>
    <cellStyle name="20% - Accent4 3 6" xfId="7003" xr:uid="{DAF7F4B5-71BC-4685-B004-4264258995C9}"/>
    <cellStyle name="20% - Accent4 4" xfId="503" xr:uid="{08BB3900-18E3-4209-BFF4-E277E689888F}"/>
    <cellStyle name="20% - Accent5 2" xfId="37" xr:uid="{96419A57-94C1-414D-ABD5-2B4D3D2244D5}"/>
    <cellStyle name="20% - Accent5 2 2" xfId="520" xr:uid="{355C436B-F6F6-491E-92DB-40CCA193D0F5}"/>
    <cellStyle name="20% - Accent5 2 2 2" xfId="1188" xr:uid="{1503178A-B34B-4D29-BAE3-F7CAB1A24A72}"/>
    <cellStyle name="20% - Accent5 2 3" xfId="4715" xr:uid="{45E910C6-2687-45A5-BC87-5B45466F8068}"/>
    <cellStyle name="20% - Accent5 2 3 2" xfId="6025" xr:uid="{CFB1AEF1-2F19-477B-84BC-9B2C26262711}"/>
    <cellStyle name="20% - Accent5 2 4" xfId="3942" xr:uid="{96E3B5A7-E0E0-494D-BC19-4BE34E348E51}"/>
    <cellStyle name="20% - Accent5 2 5" xfId="3330" xr:uid="{7C5B1D17-C890-495A-B921-9B61BD83C866}"/>
    <cellStyle name="20% - Accent5 2 6" xfId="776" xr:uid="{661CE6A2-4735-4976-B4B4-A9A4EFA7F07E}"/>
    <cellStyle name="20% - Accent5 2 7" xfId="7251" xr:uid="{C022AE9A-DB04-4ED5-A694-F3D056409296}"/>
    <cellStyle name="20% - Accent5 2 8" xfId="7102" xr:uid="{03686246-BB60-4344-A719-CA66029DD39C}"/>
    <cellStyle name="20% - Accent5 3" xfId="563" xr:uid="{0264C65F-F880-4EA8-88AB-FEAA9B539481}"/>
    <cellStyle name="20% - Accent5 3 2" xfId="4847" xr:uid="{6B31C138-F118-4FD0-B872-4AEB18039D7D}"/>
    <cellStyle name="20% - Accent5 3 3" xfId="4080" xr:uid="{2917E080-953F-401A-99DD-1FD463919BA8}"/>
    <cellStyle name="20% - Accent5 3 4" xfId="3626" xr:uid="{DCC5B781-FCEE-4CF8-B22F-2F8D486374AC}"/>
    <cellStyle name="20% - Accent5 3 5" xfId="1189" xr:uid="{C82A83B1-F394-4CA3-B4F8-F6204F9C8CD7}"/>
    <cellStyle name="20% - Accent5 3 6" xfId="7229" xr:uid="{57A9F12C-5566-45D7-8545-62490925425F}"/>
    <cellStyle name="20% - Accent5 4" xfId="504" xr:uid="{E234D804-BB46-4301-9273-8758F6DC1C2A}"/>
    <cellStyle name="20% - Accent6 2" xfId="45" xr:uid="{94494C5B-3673-47EF-9D72-3D02D8FC756D}"/>
    <cellStyle name="20% - Accent6 2 2" xfId="521" xr:uid="{3709A84C-B0D4-49D8-A949-F31AEE96F3E9}"/>
    <cellStyle name="20% - Accent6 2 2 2" xfId="1190" xr:uid="{08842BE5-5C09-4DE5-A600-B2B6351C5BAE}"/>
    <cellStyle name="20% - Accent6 2 3" xfId="4845" xr:uid="{F26722F4-B295-4AC7-81FF-DDB091DD05B4}"/>
    <cellStyle name="20% - Accent6 2 3 2" xfId="6026" xr:uid="{B61446EC-8377-42A5-8C81-AC7369086C98}"/>
    <cellStyle name="20% - Accent6 2 4" xfId="3943" xr:uid="{197CBA29-ECCE-4E80-8E85-CCAF9CC58AC9}"/>
    <cellStyle name="20% - Accent6 2 5" xfId="3624" xr:uid="{E6DA97BB-8636-467A-94E6-69B59E89676F}"/>
    <cellStyle name="20% - Accent6 2 6" xfId="863" xr:uid="{F3004BAC-99E7-480B-BF88-99854D8F8115}"/>
    <cellStyle name="20% - Accent6 2 7" xfId="7082" xr:uid="{C07200F8-A06F-4BA9-998A-5684993E2D79}"/>
    <cellStyle name="20% - Accent6 2 8" xfId="7239" xr:uid="{2138BCE1-C68A-4476-B821-A36A9813C58E}"/>
    <cellStyle name="20% - Accent6 3" xfId="564" xr:uid="{2A9AA974-DD14-482C-BC60-5FA4B296BC95}"/>
    <cellStyle name="20% - Accent6 3 2" xfId="4840" xr:uid="{2C475CFE-0581-4F9E-8FD1-8BA98D9D935E}"/>
    <cellStyle name="20% - Accent6 3 3" xfId="4081" xr:uid="{C5364637-6AC6-4230-865C-D3FC97B41772}"/>
    <cellStyle name="20% - Accent6 3 4" xfId="3620" xr:uid="{DFC370F9-A115-49D3-BB14-9C49EEF7485B}"/>
    <cellStyle name="20% - Accent6 3 5" xfId="1191" xr:uid="{6D218EAA-5A3B-4819-8324-017199A7AE3D}"/>
    <cellStyle name="20% - Accent6 3 6" xfId="7186" xr:uid="{BAB758DB-5A17-4551-B901-BB2FED70EFB9}"/>
    <cellStyle name="20% - Accent6 4" xfId="505" xr:uid="{B2DC649B-F149-47FF-A2D0-7550BD7CD96E}"/>
    <cellStyle name="20% - ส่วนที่ถูกเน้น1" xfId="254" xr:uid="{91E36DF9-3177-484A-9CB1-3D215695E7BD}"/>
    <cellStyle name="20% - ส่วนที่ถูกเน้น1 1" xfId="3573" xr:uid="{8B2C12FF-647A-4079-8B59-779434492A9C}"/>
    <cellStyle name="20% - ส่วนที่ถูกเน้น1 2" xfId="2671" xr:uid="{7A7C5598-15EB-4D65-A2C7-36F250C9E7C4}"/>
    <cellStyle name="20% - ส่วนที่ถูกเน้น1 2 2" xfId="3577" xr:uid="{B2C4E9B9-C4C1-4949-ACF3-E5354B135DA4}"/>
    <cellStyle name="20% - ส่วนที่ถูกเน้น1 3" xfId="1998" xr:uid="{E9A3D499-C8AB-4FF1-90E1-C1A5EFF53628}"/>
    <cellStyle name="20% - ส่วนที่ถูกเน้น1 4" xfId="4082" xr:uid="{F3D9F07E-B015-465C-84EF-34EB8D1D7B79}"/>
    <cellStyle name="20% - ส่วนที่ถูกเน้น1 5" xfId="1192" xr:uid="{D403F998-3CF1-46C7-ADFA-56184635D5F7}"/>
    <cellStyle name="20% - ส่วนที่ถูกเน้น1_10_2553" xfId="3571" xr:uid="{88FEE586-6788-4964-8C63-657D9156E8C8}"/>
    <cellStyle name="20% - ส่วนที่ถูกเน้น2" xfId="255" xr:uid="{84C3DB6F-07F1-487E-B590-AD54E5596B86}"/>
    <cellStyle name="20% - ส่วนที่ถูกเน้น2 1" xfId="3567" xr:uid="{F773A0C3-5ED5-495B-98A8-065C3853EA48}"/>
    <cellStyle name="20% - ส่วนที่ถูกเน้น2 2" xfId="2672" xr:uid="{987F3513-278B-403A-9912-FC65890A7FE0}"/>
    <cellStyle name="20% - ส่วนที่ถูกเน้น2 2 2" xfId="3329" xr:uid="{7A79F0C4-03A0-45B6-86BF-C4933444D96B}"/>
    <cellStyle name="20% - ส่วนที่ถูกเน้น2 3" xfId="1997" xr:uid="{FF7953AA-0326-448D-9760-8280533A89F5}"/>
    <cellStyle name="20% - ส่วนที่ถูกเน้น2 4" xfId="4083" xr:uid="{802F5B61-1D1F-4EFD-AEC2-013D73771B0B}"/>
    <cellStyle name="20% - ส่วนที่ถูกเน้น2 5" xfId="1193" xr:uid="{3F1F1A5C-625F-4A55-B1DF-41C4B80E455F}"/>
    <cellStyle name="20% - ส่วนที่ถูกเน้น3" xfId="256" xr:uid="{E0F4770B-5CC2-41D7-8922-5B249F370BE8}"/>
    <cellStyle name="20% - ส่วนที่ถูกเน้น3 1" xfId="3530" xr:uid="{C284919D-9EB2-4A54-9AA7-237656F01C94}"/>
    <cellStyle name="20% - ส่วนที่ถูกเน้น3 2" xfId="2673" xr:uid="{8F5E91F5-249F-483A-96D3-7F68CCA5FF84}"/>
    <cellStyle name="20% - ส่วนที่ถูกเน้น3 2 2" xfId="3560" xr:uid="{F0238F27-8979-4742-AEDB-965B1C13A96B}"/>
    <cellStyle name="20% - ส่วนที่ถูกเน้น3 3" xfId="1996" xr:uid="{8F13AD3A-9C4B-4ED2-967F-C2A7CA29BDB5}"/>
    <cellStyle name="20% - ส่วนที่ถูกเน้น3 4" xfId="4084" xr:uid="{EFD68007-194E-43A3-A943-878332B86EF0}"/>
    <cellStyle name="20% - ส่วนที่ถูกเน้น3 5" xfId="1194" xr:uid="{E8E7FB3D-217A-4A77-9E32-39AC01704535}"/>
    <cellStyle name="20% - ส่วนที่ถูกเน้น4" xfId="257" xr:uid="{8E57792F-E7E9-4743-9B33-C783F3B2F007}"/>
    <cellStyle name="20% - ส่วนที่ถูกเน้น4 1" xfId="3532" xr:uid="{195CFDD3-A8F1-4320-AB10-A65940F9C517}"/>
    <cellStyle name="20% - ส่วนที่ถูกเน้น4 2" xfId="2674" xr:uid="{CAA31D33-2C5C-402B-AC85-A1E98DF5A515}"/>
    <cellStyle name="20% - ส่วนที่ถูกเน้น4 2 2" xfId="3535" xr:uid="{E42B1EB9-3696-4F22-9B0E-7F71C8581346}"/>
    <cellStyle name="20% - ส่วนที่ถูกเน้น4 3" xfId="1995" xr:uid="{35239DCB-D9CF-4E78-983A-B0F7FC0F741B}"/>
    <cellStyle name="20% - ส่วนที่ถูกเน้น4 4" xfId="4085" xr:uid="{5EA6185E-2EB9-42E2-A470-179E59FA34C6}"/>
    <cellStyle name="20% - ส่วนที่ถูกเน้น4 5" xfId="1195" xr:uid="{E632A63F-7012-4515-A5ED-98C33012F415}"/>
    <cellStyle name="20% - ส่วนที่ถูกเน้น5" xfId="258" xr:uid="{42EECAA0-1202-4E7F-8A3D-C9F7842F006D}"/>
    <cellStyle name="20% - ส่วนที่ถูกเน้น5 1" xfId="3529" xr:uid="{F58DE966-326E-4C03-8050-00DE499CEB92}"/>
    <cellStyle name="20% - ส่วนที่ถูกเน้น5 2" xfId="2675" xr:uid="{BDAF48B4-DD0F-439E-80BD-4BB07F4B61EB}"/>
    <cellStyle name="20% - ส่วนที่ถูกเน้น5 2 2" xfId="3536" xr:uid="{4C80DDD9-EB39-42F6-B02F-8A9C24410BD4}"/>
    <cellStyle name="20% - ส่วนที่ถูกเน้น5 3" xfId="1994" xr:uid="{4CF11D1D-C2A1-4063-9066-7EFC5EDAABD8}"/>
    <cellStyle name="20% - ส่วนที่ถูกเน้น5 4" xfId="4086" xr:uid="{27940152-11FF-427F-8A69-AF7B78712747}"/>
    <cellStyle name="20% - ส่วนที่ถูกเน้น5 5" xfId="1196" xr:uid="{A5A5A201-2C20-4C7A-9BEB-19F3A36D4FE1}"/>
    <cellStyle name="20% - ส่วนที่ถูกเน้น5_10_2553" xfId="3526" xr:uid="{EB69A155-739A-45A2-B144-2DFC9DC9C57B}"/>
    <cellStyle name="20% - ส่วนที่ถูกเน้น6" xfId="259" xr:uid="{FE205BE5-E254-43BB-8DDA-5D5C9B36C64E}"/>
    <cellStyle name="20% - ส่วนที่ถูกเน้น6 1" xfId="3328" xr:uid="{D122AA74-F20E-4272-A751-B58716E52DD4}"/>
    <cellStyle name="20% - ส่วนที่ถูกเน้น6 2" xfId="2676" xr:uid="{89CA33C9-041A-48E3-B150-9DF5E35BE7BB}"/>
    <cellStyle name="20% - ส่วนที่ถูกเน้น6 2 2" xfId="3435" xr:uid="{165A5622-3820-4717-83A0-C9B2481318D7}"/>
    <cellStyle name="20% - ส่วนที่ถูกเน้น6 3" xfId="1993" xr:uid="{90834B15-281C-4C0D-82B7-C53BD6F54C14}"/>
    <cellStyle name="20% - ส่วนที่ถูกเน้น6 4" xfId="4087" xr:uid="{45E6C978-D8BF-4ADE-B236-74E2546ABA4D}"/>
    <cellStyle name="20% - ส่วนที่ถูกเน้น6 5" xfId="1197" xr:uid="{80DC4C38-9907-44F0-ABBD-B03C10AFAC71}"/>
    <cellStyle name="20% - ส่วนที่ถูกเน้น6_10_2553" xfId="3327" xr:uid="{5873263C-B7E7-41CF-BA16-98B60B1727AD}"/>
    <cellStyle name="40% - Accent1 2" xfId="40" xr:uid="{67239F5D-5CA1-4B1E-A2B9-F1B0DCAB561F}"/>
    <cellStyle name="40% - Accent1 2 2" xfId="522" xr:uid="{D682DC0F-88B9-45A6-893C-AE04978029A3}"/>
    <cellStyle name="40% - Accent1 2 2 2" xfId="1198" xr:uid="{DC22EA8A-62ED-4E27-94DA-D9CAE2ABD9B2}"/>
    <cellStyle name="40% - Accent1 2 3" xfId="4730" xr:uid="{1789B622-AF61-4CF8-B8F9-B84D6D890E7A}"/>
    <cellStyle name="40% - Accent1 2 3 2" xfId="6027" xr:uid="{5E6B4E56-2BD5-4F83-ADC2-F9C7856F8366}"/>
    <cellStyle name="40% - Accent1 2 4" xfId="3944" xr:uid="{0A48CECC-A0D7-4AF5-8362-10B50937B10D}"/>
    <cellStyle name="40% - Accent1 2 5" xfId="3431" xr:uid="{2BD7D601-FA5F-4EB0-AE8E-BC6C46282CC3}"/>
    <cellStyle name="40% - Accent1 2 6" xfId="944" xr:uid="{29F0310C-EDC0-42D4-B6DF-23952BEFF98F}"/>
    <cellStyle name="40% - Accent1 2 7" xfId="7110" xr:uid="{80A8B638-61E5-48BC-B987-E6F186F68A67}"/>
    <cellStyle name="40% - Accent1 2 8" xfId="7075" xr:uid="{929788E6-35E7-413A-8DC5-D87FEB187448}"/>
    <cellStyle name="40% - Accent1 3" xfId="565" xr:uid="{24A7D691-1065-48B2-942E-CC137DCAF4B3}"/>
    <cellStyle name="40% - Accent1 3 2" xfId="4738" xr:uid="{CE0883DB-E30F-46F3-BDD2-DFD3CD848241}"/>
    <cellStyle name="40% - Accent1 3 3" xfId="4088" xr:uid="{67F14EFE-287D-4F2E-8DB3-BDA2F544B63B}"/>
    <cellStyle name="40% - Accent1 3 4" xfId="3449" xr:uid="{CF95CDD0-0DF2-48BD-876B-B395BB9DC82A}"/>
    <cellStyle name="40% - Accent1 3 5" xfId="1199" xr:uid="{C608B7C3-8C3D-4221-BDF9-65DE25EF20F0}"/>
    <cellStyle name="40% - Accent1 3 6" xfId="7212" xr:uid="{0D35B7D1-3ADE-4472-B2EB-5B927C26FFAB}"/>
    <cellStyle name="40% - Accent1 4" xfId="506" xr:uid="{CFA520AE-CC56-4B35-8AA5-57B5C8968873}"/>
    <cellStyle name="40% - Accent2 2" xfId="39" xr:uid="{AEA795CD-715D-4EE3-9D8E-EF4B9AAA9827}"/>
    <cellStyle name="40% - Accent2 2 2" xfId="523" xr:uid="{0BB0F3EC-DD5F-458A-9A3E-11681B7BCD02}"/>
    <cellStyle name="40% - Accent2 2 2 2" xfId="1200" xr:uid="{7BE86B9E-4CB2-4BDB-8E98-11D634D52FBB}"/>
    <cellStyle name="40% - Accent2 2 3" xfId="4729" xr:uid="{81FF424C-1160-4F45-81EF-3068A42A0EED}"/>
    <cellStyle name="40% - Accent2 2 3 2" xfId="6028" xr:uid="{99DBD9F6-371E-4626-ADE3-B40029B82157}"/>
    <cellStyle name="40% - Accent2 2 4" xfId="3945" xr:uid="{E2429DD9-2F8B-40BF-9870-B17E0F4EDBF2}"/>
    <cellStyle name="40% - Accent2 2 5" xfId="3430" xr:uid="{26D4D30F-F50E-4091-A0E3-C23B964A5F68}"/>
    <cellStyle name="40% - Accent2 2 6" xfId="896" xr:uid="{6D49AA41-E7E2-4AA2-A991-29CC26443694}"/>
    <cellStyle name="40% - Accent2 2 7" xfId="7213" xr:uid="{7C29A33C-8B90-4A4E-82EC-654FE32D5C58}"/>
    <cellStyle name="40% - Accent2 2 8" xfId="7123" xr:uid="{B49FAD7B-AFB2-4A5F-BDE5-6E37FBE09FA2}"/>
    <cellStyle name="40% - Accent2 3" xfId="566" xr:uid="{EAA5A1EE-AB25-48C4-9CAD-E421FD7FCE6F}"/>
    <cellStyle name="40% - Accent2 3 2" xfId="1201" xr:uid="{6C3F6EE9-795B-4560-AD04-E7987FD4C3B4}"/>
    <cellStyle name="40% - Accent2 3 3" xfId="7009" xr:uid="{087472AA-0F28-41E2-AC67-669A9E9A6AFA}"/>
    <cellStyle name="40% - Accent2 4" xfId="507" xr:uid="{9F5DF100-D5A1-4253-9690-A94AFE70AF57}"/>
    <cellStyle name="40% - Accent3 2" xfId="46" xr:uid="{7523568A-BAC1-4C58-910F-369A4EC42633}"/>
    <cellStyle name="40% - Accent3 2 2" xfId="524" xr:uid="{0B96D8C7-1559-40F2-ABAA-F5BECD6FE48A}"/>
    <cellStyle name="40% - Accent3 2 2 2" xfId="1202" xr:uid="{AC39F0F1-89C6-46BF-9836-BC89FCF1D329}"/>
    <cellStyle name="40% - Accent3 2 3" xfId="4724" xr:uid="{FECAFE44-1B4E-4CBA-8064-9F51A7A472CC}"/>
    <cellStyle name="40% - Accent3 2 3 2" xfId="6029" xr:uid="{5B8EF884-F248-4E5B-8873-7269D3862963}"/>
    <cellStyle name="40% - Accent3 2 4" xfId="3946" xr:uid="{C7D6875D-E4B9-4ECB-B56F-6F2E379B507C}"/>
    <cellStyle name="40% - Accent3 2 5" xfId="3425" xr:uid="{B022B00D-7CCB-456E-B834-071178501AC0}"/>
    <cellStyle name="40% - Accent3 2 6" xfId="839" xr:uid="{E24FE14C-AB76-4F11-84E9-FE207057B54A}"/>
    <cellStyle name="40% - Accent3 2 7" xfId="7224" xr:uid="{B13F245B-42FA-4762-9BB7-F0D975E454A5}"/>
    <cellStyle name="40% - Accent3 2 8" xfId="7309" xr:uid="{D99C51CA-AEFC-4525-815E-C24387639825}"/>
    <cellStyle name="40% - Accent3 3" xfId="567" xr:uid="{6918628A-F777-4605-B125-916CE9F206B2}"/>
    <cellStyle name="40% - Accent3 3 2" xfId="1203" xr:uid="{98CED183-46D3-4A92-8F59-907E80B610F6}"/>
    <cellStyle name="40% - Accent3 3 3" xfId="7027" xr:uid="{9C254B19-C816-4721-8111-E0559238BDE9}"/>
    <cellStyle name="40% - Accent3 4" xfId="508" xr:uid="{CCBC5928-D39B-46DD-B668-A767087FAF3A}"/>
    <cellStyle name="40% - Accent4 2" xfId="47" xr:uid="{50B92204-9F19-48E2-8F47-AC673AA6DB1B}"/>
    <cellStyle name="40% - Accent4 2 2" xfId="525" xr:uid="{B50A17BE-BF53-485E-9831-80B716780B13}"/>
    <cellStyle name="40% - Accent4 2 2 2" xfId="1204" xr:uid="{0E972C8A-6AEE-434F-A198-C8D9BEAF3D89}"/>
    <cellStyle name="40% - Accent4 2 3" xfId="4733" xr:uid="{F348AD8C-5E7C-44DC-9627-1BE27836E8AE}"/>
    <cellStyle name="40% - Accent4 2 3 2" xfId="6030" xr:uid="{FE571DE6-837F-4020-B0D6-847AB1DF9F1A}"/>
    <cellStyle name="40% - Accent4 2 4" xfId="3947" xr:uid="{FFB35685-F39B-455D-8275-2DAB50A67F84}"/>
    <cellStyle name="40% - Accent4 2 5" xfId="3434" xr:uid="{1C98DB28-97C8-4004-B323-8AD15A2106F0}"/>
    <cellStyle name="40% - Accent4 2 6" xfId="795" xr:uid="{3C8EE4F4-F268-42A1-B8BF-61E830CBB5AD}"/>
    <cellStyle name="40% - Accent4 2 7" xfId="7095" xr:uid="{1034A762-C805-45AA-8C2A-72359E780703}"/>
    <cellStyle name="40% - Accent4 2 8" xfId="7080" xr:uid="{70E0FC66-CB55-483F-ADEB-79E6D4ADD23D}"/>
    <cellStyle name="40% - Accent4 3" xfId="568" xr:uid="{2AB36A4B-7DF4-4EEC-B009-F6D0B504AB24}"/>
    <cellStyle name="40% - Accent4 3 2" xfId="4714" xr:uid="{15F43B34-BB2C-4FB6-83B5-6B8D64E9842F}"/>
    <cellStyle name="40% - Accent4 3 3" xfId="4089" xr:uid="{DB5FC1CF-82EC-4411-A885-6C23BA4C623D}"/>
    <cellStyle name="40% - Accent4 3 4" xfId="3326" xr:uid="{A6BFE441-1D5C-488D-89F8-CB74FC0AB37F}"/>
    <cellStyle name="40% - Accent4 3 5" xfId="1205" xr:uid="{FB05799F-F75D-4FBF-B51D-3A238C11D162}"/>
    <cellStyle name="40% - Accent4 3 6" xfId="7086" xr:uid="{8E5A439E-DE0D-4E44-A2EF-457884D25881}"/>
    <cellStyle name="40% - Accent4 4" xfId="509" xr:uid="{1B85AAC1-B2B2-4BAE-AF38-59FCB24CF803}"/>
    <cellStyle name="40% - Accent5 2" xfId="48" xr:uid="{A7167D37-3DB8-4701-BB7E-D1AA7FAC800F}"/>
    <cellStyle name="40% - Accent5 2 2" xfId="526" xr:uid="{28CD3E24-3498-4D1E-8FA0-A96A0A8EA03B}"/>
    <cellStyle name="40% - Accent5 2 2 2" xfId="1206" xr:uid="{09724BEB-A656-4148-9096-324836D66BC7}"/>
    <cellStyle name="40% - Accent5 2 3" xfId="4713" xr:uid="{658F359B-4C7B-4449-9C16-8CEBA7CA9349}"/>
    <cellStyle name="40% - Accent5 2 3 2" xfId="6031" xr:uid="{FD6D451B-E217-4349-A3D6-2C78273AE74D}"/>
    <cellStyle name="40% - Accent5 2 4" xfId="3948" xr:uid="{E3650922-87CC-4DA1-9DC0-BF38B4032556}"/>
    <cellStyle name="40% - Accent5 2 5" xfId="3325" xr:uid="{748564D4-163A-4638-A2DF-66F59F7E4BD7}"/>
    <cellStyle name="40% - Accent5 2 6" xfId="916" xr:uid="{0C1DA79F-B709-4806-AED0-9BE2C6F95FC7}"/>
    <cellStyle name="40% - Accent5 2 7" xfId="7207" xr:uid="{04E246E9-7C47-4F95-9F94-C005483F62EA}"/>
    <cellStyle name="40% - Accent5 2 8" xfId="7091" xr:uid="{46D41731-87F8-41D3-BCF3-FE66439F476E}"/>
    <cellStyle name="40% - Accent5 3" xfId="569" xr:uid="{D78EC057-D6DC-48BF-82AB-4BDC27EA9D09}"/>
    <cellStyle name="40% - Accent5 3 2" xfId="4712" xr:uid="{EE5E60B8-9F1C-47B9-94D9-B835FA5D66CC}"/>
    <cellStyle name="40% - Accent5 3 3" xfId="4090" xr:uid="{EF3CD0F9-9364-4D7A-ADEB-7E2263C13498}"/>
    <cellStyle name="40% - Accent5 3 4" xfId="3324" xr:uid="{DE6D9934-5651-4D53-8ABF-C35FE9C29731}"/>
    <cellStyle name="40% - Accent5 3 5" xfId="1207" xr:uid="{CFFAC7D4-03FC-4979-A60C-DC782842DD6D}"/>
    <cellStyle name="40% - Accent5 3 6" xfId="7050" xr:uid="{695E8A6C-5CA9-4281-BA5A-1EE4022330F0}"/>
    <cellStyle name="40% - Accent5 4" xfId="510" xr:uid="{520708A4-A94A-4902-A377-0E48950D7ECF}"/>
    <cellStyle name="40% - Accent6 2" xfId="49" xr:uid="{5A5B2A35-EB78-41DC-974D-AE9B4E0F8AE2}"/>
    <cellStyle name="40% - Accent6 2 2" xfId="527" xr:uid="{958563DE-BF60-476C-9E22-54ECA233DDA5}"/>
    <cellStyle name="40% - Accent6 2 2 2" xfId="1208" xr:uid="{1188D907-27BE-4BAF-A851-64F6E6407087}"/>
    <cellStyle name="40% - Accent6 2 3" xfId="4711" xr:uid="{CE38C2CE-45DF-484D-A21D-0D6D55275369}"/>
    <cellStyle name="40% - Accent6 2 3 2" xfId="6032" xr:uid="{0653B2E0-2077-4697-9476-811846DE9667}"/>
    <cellStyle name="40% - Accent6 2 4" xfId="3949" xr:uid="{B1DD99C9-FD1D-45E8-89FF-CDC499983A60}"/>
    <cellStyle name="40% - Accent6 2 5" xfId="3323" xr:uid="{47D5F702-1170-4D1E-ADD4-2DCB24EEEFEA}"/>
    <cellStyle name="40% - Accent6 2 6" xfId="214" xr:uid="{4D3FDC03-F5E6-459C-B14F-F41097D5CE90}"/>
    <cellStyle name="40% - Accent6 2 7" xfId="7289" xr:uid="{5F3319CD-909F-4327-B972-6DCA234AA703}"/>
    <cellStyle name="40% - Accent6 2 8" xfId="7230" xr:uid="{C76BF452-2A0D-4F10-BF4F-E5841E306F66}"/>
    <cellStyle name="40% - Accent6 3" xfId="570" xr:uid="{B4DA339D-4F09-4775-B0A3-F37175F61FBD}"/>
    <cellStyle name="40% - Accent6 3 2" xfId="1209" xr:uid="{07D49D06-2168-454A-B53B-C2A5A2A29256}"/>
    <cellStyle name="40% - Accent6 3 3" xfId="7180" xr:uid="{3C77CE29-AC0B-45B9-8A57-D6E3698F0D94}"/>
    <cellStyle name="40% - Accent6 4" xfId="511" xr:uid="{4EF38DE9-83D8-45C3-AD1B-E57779A3B8F3}"/>
    <cellStyle name="40% - ส่วนที่ถูกเน้น1" xfId="260" xr:uid="{2575B0C4-1406-45E1-AFF4-8AE9EFA7132A}"/>
    <cellStyle name="40% - ส่วนที่ถูกเน้น1 1" xfId="3619" xr:uid="{AC90E240-FB29-4DB6-923E-88B61F9DC256}"/>
    <cellStyle name="40% - ส่วนที่ถูกเน้น1 2" xfId="2677" xr:uid="{ABC2E694-5B3F-48E3-A445-6951531B2F0C}"/>
    <cellStyle name="40% - ส่วนที่ถูกเน้น1 2 2" xfId="3322" xr:uid="{6E08183D-04B5-40B7-8D53-06D84BAA2CA8}"/>
    <cellStyle name="40% - ส่วนที่ถูกเน้น1 3" xfId="1992" xr:uid="{C909298C-E141-4042-AF54-A3AEF6CE25C6}"/>
    <cellStyle name="40% - ส่วนที่ถูกเน้น1 4" xfId="4091" xr:uid="{BC0BB0C2-9AD6-4175-8585-643E289CD6D3}"/>
    <cellStyle name="40% - ส่วนที่ถูกเน้น1 5" xfId="1210" xr:uid="{FA34EBDD-ABAC-4CB3-AE18-E97E0ADCE93F}"/>
    <cellStyle name="40% - ส่วนที่ถูกเน้น1_10_2553" xfId="3561" xr:uid="{0C5EE5D5-40BE-4B8F-9239-A375A4B34509}"/>
    <cellStyle name="40% - ส่วนที่ถูกเน้น2" xfId="261" xr:uid="{7B00AE18-974E-48A0-A940-06B8C5F21984}"/>
    <cellStyle name="40% - ส่วนที่ถูกเน้น2 1" xfId="3522" xr:uid="{FF52B0DB-9581-4C39-8DC9-52E91D21BB76}"/>
    <cellStyle name="40% - ส่วนที่ถูกเน้น2 2" xfId="2678" xr:uid="{61A62088-9843-4886-BB31-85566578356D}"/>
    <cellStyle name="40% - ส่วนที่ถูกเน้น2 2 2" xfId="3419" xr:uid="{AE2C47F1-C491-4AE2-86C3-122BC3319977}"/>
    <cellStyle name="40% - ส่วนที่ถูกเน้น2 3" xfId="1991" xr:uid="{CC183B97-0D54-42C6-BB96-5DDA8D1D4E90}"/>
    <cellStyle name="40% - ส่วนที่ถูกเน้น2 4" xfId="4092" xr:uid="{B7C3F5E3-8CEC-47E2-A04A-042AAFE4A649}"/>
    <cellStyle name="40% - ส่วนที่ถูกเน้น2 5" xfId="1211" xr:uid="{B54BD16A-BCA0-46DA-B51E-364E9DB95BE9}"/>
    <cellStyle name="40% - ส่วนที่ถูกเน้น3" xfId="262" xr:uid="{FA548CC2-1275-4292-AFDB-FA8DD22E85CD}"/>
    <cellStyle name="40% - ส่วนที่ถูกเน้น3 1" xfId="3438" xr:uid="{9BAD20D9-D53E-4F31-AC2B-7E036A4B5DA9}"/>
    <cellStyle name="40% - ส่วนที่ถูกเน้น3 2" xfId="2679" xr:uid="{12948F33-ADFF-4293-8754-125FEB66734C}"/>
    <cellStyle name="40% - ส่วนที่ถูกเน้น3 2 2" xfId="3476" xr:uid="{1E50162A-154F-491D-B6E0-BB4FEE63761D}"/>
    <cellStyle name="40% - ส่วนที่ถูกเน้น3 3" xfId="1990" xr:uid="{8A0D926C-9E07-4F6A-8AB2-7E25CF113241}"/>
    <cellStyle name="40% - ส่วนที่ถูกเน้น3 4" xfId="4093" xr:uid="{3DD391F5-48DD-4CB8-A11A-80F36A01A2C3}"/>
    <cellStyle name="40% - ส่วนที่ถูกเน้น3 5" xfId="1212" xr:uid="{6589ADD0-CFAB-49AF-8C0D-E13626E32AF7}"/>
    <cellStyle name="40% - ส่วนที่ถูกเน้น3_10_2553" xfId="3321" xr:uid="{08F6E6EB-ABB0-418E-9381-C3C07D3F9CF7}"/>
    <cellStyle name="40% - ส่วนที่ถูกเน้น4" xfId="263" xr:uid="{2903A78D-129E-418C-B743-8EF8B9ED4E81}"/>
    <cellStyle name="40% - ส่วนที่ถูกเน้น4 1" xfId="3319" xr:uid="{6119B5A8-AFF4-4815-9591-A91AC29FE19E}"/>
    <cellStyle name="40% - ส่วนที่ถูกเน้น4 2" xfId="2680" xr:uid="{0F2FF742-7FF7-467E-82F9-67217F163CF8}"/>
    <cellStyle name="40% - ส่วนที่ถูกเน้น4 2 2" xfId="3320" xr:uid="{A5356143-8E0E-4DF5-BAB4-07AB150DD0F7}"/>
    <cellStyle name="40% - ส่วนที่ถูกเน้น4 3" xfId="1989" xr:uid="{CCC673B3-BB86-4FC2-976C-1AB9E9A088AB}"/>
    <cellStyle name="40% - ส่วนที่ถูกเน้น4 4" xfId="4094" xr:uid="{4B69F44E-ADD6-41A1-87D4-CC843FEED11F}"/>
    <cellStyle name="40% - ส่วนที่ถูกเน้น4 5" xfId="1213" xr:uid="{B4B759F2-4367-4053-ACD4-BD76E1797912}"/>
    <cellStyle name="40% - ส่วนที่ถูกเน้น5" xfId="264" xr:uid="{27A17BB4-5CD4-4143-B9C2-4050928C94A5}"/>
    <cellStyle name="40% - ส่วนที่ถูกเน้น5 1" xfId="3318" xr:uid="{FE43FCDA-8ED4-489E-B2FF-B743A9C85397}"/>
    <cellStyle name="40% - ส่วนที่ถูกเน้น5 2" xfId="2681" xr:uid="{492069CD-231A-4A70-8177-D976B5F1D2EF}"/>
    <cellStyle name="40% - ส่วนที่ถูกเน้น5 2 2" xfId="3418" xr:uid="{2EA0AA86-F9BA-42B4-98C6-AF42A9D31630}"/>
    <cellStyle name="40% - ส่วนที่ถูกเน้น5 3" xfId="1988" xr:uid="{10AE0067-37D0-4563-8F60-3F5D637220E2}"/>
    <cellStyle name="40% - ส่วนที่ถูกเน้น5 4" xfId="4095" xr:uid="{698FA230-36A1-4C47-B45A-6A4F90EDBD99}"/>
    <cellStyle name="40% - ส่วนที่ถูกเน้น5 5" xfId="1214" xr:uid="{6DB48C7A-C7C7-4A15-9386-5C740A8865FB}"/>
    <cellStyle name="40% - ส่วนที่ถูกเน้น5_10_2553" xfId="3315" xr:uid="{49740589-70BC-41E0-AADB-73C7A32D1AC6}"/>
    <cellStyle name="40% - ส่วนที่ถูกเน้น6" xfId="265" xr:uid="{E0B2CDA4-EAC4-48FA-A48E-30C946736EF9}"/>
    <cellStyle name="40% - ส่วนที่ถูกเน้น6 1" xfId="3313" xr:uid="{744D4019-2AA9-4029-A6E1-3B360956DFEE}"/>
    <cellStyle name="40% - ส่วนที่ถูกเน้น6 2" xfId="2682" xr:uid="{14A3533F-8FBF-44A0-8210-EB148764E1D1}"/>
    <cellStyle name="40% - ส่วนที่ถูกเน้น6 2 2" xfId="3314" xr:uid="{4A04D11B-357D-4F18-9CD3-584645940F1C}"/>
    <cellStyle name="40% - ส่วนที่ถูกเน้น6 3" xfId="1987" xr:uid="{7C2258B1-E515-4299-A97C-87F44C555EF0}"/>
    <cellStyle name="40% - ส่วนที่ถูกเน้น6 4" xfId="4096" xr:uid="{E286F11E-F048-4EAE-8E06-0DEB9F563805}"/>
    <cellStyle name="40% - ส่วนที่ถูกเน้น6 5" xfId="1215" xr:uid="{A0FDA516-C40E-4CE3-8966-2E053D1EDD19}"/>
    <cellStyle name="40% - ส่วนที่ถูกเน้น6_10_2553" xfId="3312" xr:uid="{DC7FB036-F7F9-450F-81EC-D3355B19CB40}"/>
    <cellStyle name="60% - Accent1 2" xfId="50" xr:uid="{7F34BE08-6FE1-4BC7-B599-B836A4B6CEC5}"/>
    <cellStyle name="60% - Accent1 2 2" xfId="528" xr:uid="{CCBF9BE7-EE6E-4B02-8DF1-D897F527D772}"/>
    <cellStyle name="60% - Accent1 2 2 2" xfId="1216" xr:uid="{92CD0B59-FE93-4395-8D67-31B46842704D}"/>
    <cellStyle name="60% - Accent1 2 3" xfId="4708" xr:uid="{77D5221B-849B-4292-BBD2-03839C1E8789}"/>
    <cellStyle name="60% - Accent1 2 3 2" xfId="6033" xr:uid="{65943AFF-3F6E-4D80-8E39-1DDB87819181}"/>
    <cellStyle name="60% - Accent1 2 4" xfId="3950" xr:uid="{0672896C-58C3-4C8C-B808-63C6CD5EEB30}"/>
    <cellStyle name="60% - Accent1 2 5" xfId="3311" xr:uid="{B28DBAC7-B376-47E5-8AE7-0F3BAC60E562}"/>
    <cellStyle name="60% - Accent1 2 6" xfId="796" xr:uid="{894689B0-0555-42CE-94DD-115356C55C95}"/>
    <cellStyle name="60% - Accent1 2 7" xfId="7041" xr:uid="{BF40C890-1340-430E-B3C1-2C1C1ACAF41A}"/>
    <cellStyle name="60% - Accent1 2 8" xfId="7250" xr:uid="{A717E96C-0E15-49A6-91FB-AC7417E7C89C}"/>
    <cellStyle name="60% - Accent1 3" xfId="489" xr:uid="{63008B33-FE94-4CBB-8C2A-7BDBD200315B}"/>
    <cellStyle name="60% - Accent1 3 2" xfId="4707" xr:uid="{BA79E6BE-F89B-46CF-92C5-C11F56DA1F6F}"/>
    <cellStyle name="60% - Accent1 3 3" xfId="4097" xr:uid="{5C5CA384-077C-4F83-A523-C31E94F70CDD}"/>
    <cellStyle name="60% - Accent1 3 4" xfId="3310" xr:uid="{7805E8E5-77A8-4E56-8489-A89D176ACDE0}"/>
    <cellStyle name="60% - Accent1 3 5" xfId="1217" xr:uid="{8D6E6F9F-BC06-47F0-9B7D-D5C1CD27E6B2}"/>
    <cellStyle name="60% - Accent1 3 6" xfId="7014" xr:uid="{898D056F-E853-4EF7-89DE-03A2C7B74B85}"/>
    <cellStyle name="60% - Accent2 2" xfId="51" xr:uid="{98C40423-9B59-4751-A0AB-4D75ECD4F0DC}"/>
    <cellStyle name="60% - Accent2 2 2" xfId="529" xr:uid="{74C12598-DC2F-4424-B123-71B637CD8E18}"/>
    <cellStyle name="60% - Accent2 2 2 2" xfId="1218" xr:uid="{AF4F0AE4-7B22-48B8-B333-21E5339A454B}"/>
    <cellStyle name="60% - Accent2 2 3" xfId="4706" xr:uid="{A802D335-BBA2-46FB-A8FA-DF2DA51CA5CC}"/>
    <cellStyle name="60% - Accent2 2 3 2" xfId="6034" xr:uid="{2EE72798-9F3A-457C-B4C6-EC09A542B431}"/>
    <cellStyle name="60% - Accent2 2 4" xfId="3951" xr:uid="{CEBA0E90-4BC7-4BD4-907E-AF836A06F9AE}"/>
    <cellStyle name="60% - Accent2 2 5" xfId="3309" xr:uid="{EF8CE707-BA9E-436D-B5A1-C917EAEDC85C}"/>
    <cellStyle name="60% - Accent2 2 6" xfId="777" xr:uid="{6F7FC6CE-EA5A-4D6B-BC71-058E2E1115AF}"/>
    <cellStyle name="60% - Accent2 2 7" xfId="7015" xr:uid="{8DB4B05D-6B38-4DDB-A511-A2243A36A4EA}"/>
    <cellStyle name="60% - Accent2 2 8" xfId="7242" xr:uid="{30370251-9314-4208-A127-9EE135EE6A50}"/>
    <cellStyle name="60% - Accent2 3" xfId="491" xr:uid="{524E6541-B635-47F5-95C8-BDE35B631F0B}"/>
    <cellStyle name="60% - Accent2 3 2" xfId="1219" xr:uid="{9FD83987-EB29-4CFE-995A-E38C961CFF84}"/>
    <cellStyle name="60% - Accent2 3 3" xfId="7267" xr:uid="{CF9990D7-4B70-4A10-8CA1-5EE4A31AECD3}"/>
    <cellStyle name="60% - Accent3 2" xfId="52" xr:uid="{D3EF832C-6D7D-421B-83ED-2916DC40253D}"/>
    <cellStyle name="60% - Accent3 2 2" xfId="530" xr:uid="{6FAEEC58-64B1-4928-BF8D-C2E40A8B18FB}"/>
    <cellStyle name="60% - Accent3 2 2 2" xfId="1220" xr:uid="{4A94A177-654C-4DF6-83DB-D315676A6DBD}"/>
    <cellStyle name="60% - Accent3 2 3" xfId="4752" xr:uid="{F8B7300D-E08C-437C-ADC6-114D7C77FA28}"/>
    <cellStyle name="60% - Accent3 2 3 2" xfId="6035" xr:uid="{FD2485D0-B348-47F9-97EF-BD42F588617B}"/>
    <cellStyle name="60% - Accent3 2 4" xfId="3952" xr:uid="{BA9D7B84-7D59-4AD4-98B7-1E116D5E6BB2}"/>
    <cellStyle name="60% - Accent3 2 5" xfId="3475" xr:uid="{CD6DC78D-DA64-4C5C-B897-1BDAA2C17D48}"/>
    <cellStyle name="60% - Accent3 2 6" xfId="898" xr:uid="{DDFDA006-1714-47FB-85BA-9023573D4AB9}"/>
    <cellStyle name="60% - Accent3 2 7" xfId="7071" xr:uid="{620DEC93-B06F-4A23-8C90-5A454E7EAFE8}"/>
    <cellStyle name="60% - Accent3 2 8" xfId="7063" xr:uid="{ECB62CC5-6CFA-44D2-87B4-4C1A3728A669}"/>
    <cellStyle name="60% - Accent3 3" xfId="493" xr:uid="{82429628-6BF2-4E44-A1EE-4D8A8ADFA2A0}"/>
    <cellStyle name="60% - Accent3 3 2" xfId="1221" xr:uid="{8442EAD8-0F01-405F-ABF3-FBFDEA8AC0F9}"/>
    <cellStyle name="60% - Accent3 3 3" xfId="7260" xr:uid="{3EC52B68-782F-400D-AC5D-A483CEC07538}"/>
    <cellStyle name="60% - Accent4 2" xfId="53" xr:uid="{3FD8FF0D-CA2D-4B87-BE9D-12841AAF6CFA}"/>
    <cellStyle name="60% - Accent4 2 2" xfId="531" xr:uid="{C8B78721-A1FD-44FF-94F2-47BE8F7E0063}"/>
    <cellStyle name="60% - Accent4 2 2 2" xfId="1222" xr:uid="{76286EB8-B937-48B4-84E2-0CDFAA10023A}"/>
    <cellStyle name="60% - Accent4 2 3" xfId="4751" xr:uid="{8E89AFCA-CD99-444D-87FB-D9386F32F180}"/>
    <cellStyle name="60% - Accent4 2 3 2" xfId="6036" xr:uid="{1466ABAE-4A66-462C-A734-D35ECE96614F}"/>
    <cellStyle name="60% - Accent4 2 4" xfId="3953" xr:uid="{525221F4-3CCC-4EDC-B92B-A55DA32FA0BC}"/>
    <cellStyle name="60% - Accent4 2 5" xfId="3474" xr:uid="{3BFC244D-C12A-4506-85C0-29B9B64A6852}"/>
    <cellStyle name="60% - Accent4 2 6" xfId="789" xr:uid="{2FF05B8E-7807-48E3-B1D9-B04A040B7AD5}"/>
    <cellStyle name="60% - Accent4 2 7" xfId="7134" xr:uid="{6D0ED8D3-62D0-44B9-B6D2-4355721B64C6}"/>
    <cellStyle name="60% - Accent4 2 8" xfId="7275" xr:uid="{A750769F-FC86-4074-B70F-FF347EBEED4D}"/>
    <cellStyle name="60% - Accent4 3" xfId="495" xr:uid="{671164AC-3B34-4979-87C1-2E4A2F68FC42}"/>
    <cellStyle name="60% - Accent4 3 2" xfId="4627" xr:uid="{8A4AA88D-181E-45BA-AB69-0364999167E1}"/>
    <cellStyle name="60% - Accent4 3 3" xfId="4098" xr:uid="{DF307081-DE42-4C47-8B2E-3C07FC83804E}"/>
    <cellStyle name="60% - Accent4 3 4" xfId="3219" xr:uid="{57432D7B-23E3-458E-BCAC-62E82C1F34B9}"/>
    <cellStyle name="60% - Accent4 3 5" xfId="1223" xr:uid="{EDBDE18F-AFB0-4D80-81FC-06EDF481A9F3}"/>
    <cellStyle name="60% - Accent4 3 6" xfId="7151" xr:uid="{A15013B7-CE38-4408-A792-60C2488F7E69}"/>
    <cellStyle name="60% - Accent5 2" xfId="54" xr:uid="{3A71024C-4655-4D13-BB45-3762435737DD}"/>
    <cellStyle name="60% - Accent5 2 2" xfId="532" xr:uid="{C97E2F7E-41BC-4ABA-8D11-8D1A220B80DD}"/>
    <cellStyle name="60% - Accent5 2 2 2" xfId="1224" xr:uid="{D58C03DC-200C-4FDB-BEBD-A1BD4DAC42E8}"/>
    <cellStyle name="60% - Accent5 2 3" xfId="4705" xr:uid="{31AF87FC-9989-4886-A8DD-C32AFEBED618}"/>
    <cellStyle name="60% - Accent5 2 3 2" xfId="6037" xr:uid="{33013785-787D-46FC-B2C0-A581A8E7B1BA}"/>
    <cellStyle name="60% - Accent5 2 4" xfId="3954" xr:uid="{A4A2382E-B5BE-4C1B-99FE-22A4790007EE}"/>
    <cellStyle name="60% - Accent5 2 5" xfId="3308" xr:uid="{BD3B02F5-B4DD-4617-ABF2-FD16BB0662C2}"/>
    <cellStyle name="60% - Accent5 2 6" xfId="661" xr:uid="{C743A512-26E4-40FC-9AAF-B14C93B4D6EB}"/>
    <cellStyle name="60% - Accent5 2 7" xfId="7185" xr:uid="{9F64BF73-8A16-4E5F-8AFD-ADFA8B8A45BB}"/>
    <cellStyle name="60% - Accent5 2 8" xfId="7008" xr:uid="{8BF32334-2667-420F-9E80-30E2F820E464}"/>
    <cellStyle name="60% - Accent5 3" xfId="497" xr:uid="{91808037-D327-48BF-BC45-4835088ED4D4}"/>
    <cellStyle name="60% - Accent5 3 2" xfId="4704" xr:uid="{F2BFDE93-D8D3-486E-970A-118B33D57BA9}"/>
    <cellStyle name="60% - Accent5 3 3" xfId="4099" xr:uid="{FC352E8E-CA06-4533-8527-186A3E74A798}"/>
    <cellStyle name="60% - Accent5 3 4" xfId="3307" xr:uid="{028B15B7-6C60-42A8-9A00-B822602C7C67}"/>
    <cellStyle name="60% - Accent5 3 5" xfId="1225" xr:uid="{C902436A-79B4-4350-B70B-809688C59156}"/>
    <cellStyle name="60% - Accent5 3 6" xfId="7121" xr:uid="{2EEDE0C7-8D62-4E50-8126-9C14D9329BBA}"/>
    <cellStyle name="60% - Accent6 2" xfId="55" xr:uid="{E733B074-CB7F-4950-BDCA-EF1307D2E0AE}"/>
    <cellStyle name="60% - Accent6 2 2" xfId="533" xr:uid="{4AF35F40-801B-4A2E-9EFD-C7849AF6E7BA}"/>
    <cellStyle name="60% - Accent6 2 2 2" xfId="1226" xr:uid="{95D3271A-49D4-4E10-B742-DEF73D4DF8CF}"/>
    <cellStyle name="60% - Accent6 2 3" xfId="4703" xr:uid="{E3789A1E-8A0F-4F59-8F18-A219F206878C}"/>
    <cellStyle name="60% - Accent6 2 3 2" xfId="6038" xr:uid="{203DE7D0-81EC-4EC3-8307-46CCCAB7235F}"/>
    <cellStyle name="60% - Accent6 2 4" xfId="3955" xr:uid="{F176518D-27B3-46D5-873A-4FACB2918A69}"/>
    <cellStyle name="60% - Accent6 2 5" xfId="3306" xr:uid="{14BA8937-8BAF-4076-9959-EA65B0404B8C}"/>
    <cellStyle name="60% - Accent6 2 6" xfId="852" xr:uid="{614B28B3-54F5-440D-967E-04040B182905}"/>
    <cellStyle name="60% - Accent6 2 7" xfId="7030" xr:uid="{A0CF2951-B540-4DC1-94F5-E52A5FCE0391}"/>
    <cellStyle name="60% - Accent6 2 8" xfId="7226" xr:uid="{37F69ABC-9701-4745-930B-ADB81007C3EE}"/>
    <cellStyle name="60% - Accent6 3" xfId="499" xr:uid="{E43EDA75-BFAF-4C88-B802-965449E8807B}"/>
    <cellStyle name="60% - Accent6 3 2" xfId="1227" xr:uid="{7B1F0FD3-CD6F-4971-99D7-89AF7222507A}"/>
    <cellStyle name="60% - Accent6 3 3" xfId="7142" xr:uid="{7EDB8F8D-B499-4126-9A11-C192FC990032}"/>
    <cellStyle name="60% - ส่วนที่ถูกเน้น1" xfId="266" xr:uid="{7E7145FF-BB2D-46A4-8CE6-C90B36826BAE}"/>
    <cellStyle name="60% - ส่วนที่ถูกเน้น1 1" xfId="3304" xr:uid="{6834D1CD-0622-40E7-B678-2D566FFAAB69}"/>
    <cellStyle name="60% - ส่วนที่ถูกเน้น1 2" xfId="2683" xr:uid="{C2BB8314-BCE4-4066-82F3-8C7AA996A7DD}"/>
    <cellStyle name="60% - ส่วนที่ถูกเน้น1 2 2" xfId="3305" xr:uid="{99282A1F-654A-4F57-AAD2-1F82555ECA3C}"/>
    <cellStyle name="60% - ส่วนที่ถูกเน้น1 3" xfId="1986" xr:uid="{3651A8B4-CCE0-4676-BA62-93FA4C9857E0}"/>
    <cellStyle name="60% - ส่วนที่ถูกเน้น1 4" xfId="4100" xr:uid="{9CF3595F-4F1D-4460-8060-04B9866DC419}"/>
    <cellStyle name="60% - ส่วนที่ถูกเน้น1 5" xfId="1228" xr:uid="{A348E306-9C40-40B0-80E8-EF251B48130B}"/>
    <cellStyle name="60% - ส่วนที่ถูกเน้น1_10_2553" xfId="3303" xr:uid="{30810314-B45C-43B7-814E-2BF1DDD30ED7}"/>
    <cellStyle name="60% - ส่วนที่ถูกเน้น2" xfId="267" xr:uid="{34AE1EAA-3444-42DB-A4F8-231C36B857B5}"/>
    <cellStyle name="60% - ส่วนที่ถูกเน้น2 1" xfId="3301" xr:uid="{2A86C872-129D-4FE2-A628-B3950390F9B6}"/>
    <cellStyle name="60% - ส่วนที่ถูกเน้น2 2" xfId="2684" xr:uid="{77EDE80B-B783-403E-BED0-792AC7227C61}"/>
    <cellStyle name="60% - ส่วนที่ถูกเน้น2 2 2" xfId="3302" xr:uid="{12213881-C787-4D02-919B-15327F5FC7C4}"/>
    <cellStyle name="60% - ส่วนที่ถูกเน้น2 3" xfId="1985" xr:uid="{12B8C5CD-3AEC-47CA-A918-7B8F649280FE}"/>
    <cellStyle name="60% - ส่วนที่ถูกเน้น2 4" xfId="4101" xr:uid="{E6F21BEA-A421-44C6-BA2E-CD47F4342144}"/>
    <cellStyle name="60% - ส่วนที่ถูกเน้น2 5" xfId="1229" xr:uid="{A57BF8EF-4FFE-47B6-B5C6-D30E0A6D1CC9}"/>
    <cellStyle name="60% - ส่วนที่ถูกเน้น3" xfId="268" xr:uid="{240CAB2C-2529-4247-801A-AF4B30DAC35A}"/>
    <cellStyle name="60% - ส่วนที่ถูกเน้น3 1" xfId="3472" xr:uid="{BF9B9054-86C2-4682-A7D3-4DD97FDD71E7}"/>
    <cellStyle name="60% - ส่วนที่ถูกเน้น3 2" xfId="2685" xr:uid="{4B6146ED-2C27-43EA-A791-4885F4212CB0}"/>
    <cellStyle name="60% - ส่วนที่ถูกเน้น3 2 2" xfId="3473" xr:uid="{F6AC7780-5ADD-4BBD-A4A5-0D9A4DB43A31}"/>
    <cellStyle name="60% - ส่วนที่ถูกเน้น3 3" xfId="1984" xr:uid="{EEEC81E8-3189-4E39-978B-E6559D2E9F7B}"/>
    <cellStyle name="60% - ส่วนที่ถูกเน้น3 4" xfId="4102" xr:uid="{BC12CCFF-CB9C-4871-93B4-E5D6EE757AC4}"/>
    <cellStyle name="60% - ส่วนที่ถูกเน้น3 5" xfId="1230" xr:uid="{5FF357C4-25BA-4E03-B073-5E4F12DF65B8}"/>
    <cellStyle name="60% - ส่วนที่ถูกเน้น3_10_2553" xfId="3471" xr:uid="{865B7E9F-9D7D-4E65-B2E9-F6B9FADB88B1}"/>
    <cellStyle name="60% - ส่วนที่ถูกเน้น4" xfId="269" xr:uid="{300756F1-E39F-446B-981E-F6E78FF4FA34}"/>
    <cellStyle name="60% - ส่วนที่ถูกเน้น4 1" xfId="3469" xr:uid="{029DD4B3-C85F-4EB4-A8DD-4366D6B6E2F9}"/>
    <cellStyle name="60% - ส่วนที่ถูกเน้น4 2" xfId="2686" xr:uid="{4CD6B653-962D-49BF-9B8B-34E899905C36}"/>
    <cellStyle name="60% - ส่วนที่ถูกเน้น4 2 2" xfId="3470" xr:uid="{97DF11AC-05F8-4B3B-9AEA-6C91241E2190}"/>
    <cellStyle name="60% - ส่วนที่ถูกเน้น4 3" xfId="1983" xr:uid="{B469F3FD-4532-4717-B66B-33741A3B7F79}"/>
    <cellStyle name="60% - ส่วนที่ถูกเน้น4 4" xfId="4103" xr:uid="{81DFAB73-6D7A-4819-AF18-084E5F7D545A}"/>
    <cellStyle name="60% - ส่วนที่ถูกเน้น4 5" xfId="1231" xr:uid="{79150AFF-8D9D-4943-AF55-CC528B01FB0F}"/>
    <cellStyle name="60% - ส่วนที่ถูกเน้น4_10_2553" xfId="3300" xr:uid="{B6DCC848-7BB8-4B8A-845B-110AE6EFBCA0}"/>
    <cellStyle name="60% - ส่วนที่ถูกเน้น5" xfId="270" xr:uid="{8DC18C9E-6DB0-462E-866E-A208B423FA12}"/>
    <cellStyle name="60% - ส่วนที่ถูกเน้น5 1" xfId="3298" xr:uid="{C949EB85-A16F-4056-A2EF-C0C1559B92D1}"/>
    <cellStyle name="60% - ส่วนที่ถูกเน้น5 2" xfId="2687" xr:uid="{798267BE-382B-43FD-A79A-12418EBF79AE}"/>
    <cellStyle name="60% - ส่วนที่ถูกเน้น5 2 2" xfId="3299" xr:uid="{13C52905-5A81-4BA0-AD06-8CD84091F0D7}"/>
    <cellStyle name="60% - ส่วนที่ถูกเน้น5 3" xfId="1982" xr:uid="{885FBE92-42E5-4DDA-B9DA-9E4C17BDB51A}"/>
    <cellStyle name="60% - ส่วนที่ถูกเน้น5 4" xfId="4104" xr:uid="{1C6AD103-B1D6-4CCD-8291-73C318EE4F50}"/>
    <cellStyle name="60% - ส่วนที่ถูกเน้น5 5" xfId="1232" xr:uid="{1154EBA7-07AD-42D9-BE22-3868F228528E}"/>
    <cellStyle name="60% - ส่วนที่ถูกเน้น6" xfId="271" xr:uid="{683810DF-A3E1-4482-B886-F2D8A55FFAD4}"/>
    <cellStyle name="60% - ส่วนที่ถูกเน้น6 1" xfId="3296" xr:uid="{7A1B9567-5B25-47EC-A44B-AD029AF0EA85}"/>
    <cellStyle name="60% - ส่วนที่ถูกเน้น6 2" xfId="2688" xr:uid="{0E627BFB-035D-485B-AEFA-912022A90DBC}"/>
    <cellStyle name="60% - ส่วนที่ถูกเน้น6 2 2" xfId="3297" xr:uid="{0579C766-EF26-4844-BD85-99FACCA6EAC2}"/>
    <cellStyle name="60% - ส่วนที่ถูกเน้น6 3" xfId="1981" xr:uid="{16A90BED-DD82-4E92-A4B6-1C29554FCE27}"/>
    <cellStyle name="60% - ส่วนที่ถูกเน้น6 4" xfId="4105" xr:uid="{6D347AE8-BB25-4C99-BEEF-1750378C2577}"/>
    <cellStyle name="60% - ส่วนที่ถูกเน้น6 5" xfId="1233" xr:uid="{E9CAFD0F-7A7C-43A7-9AE3-DF1173006B5A}"/>
    <cellStyle name="60% - ส่วนที่ถูกเน้น6_Credit Risk Management_Feb2011" xfId="3295" xr:uid="{01629E3F-9885-4F05-A430-9C9FEB5EF41B}"/>
    <cellStyle name="75" xfId="664" xr:uid="{3FBFB9E9-DDBE-4993-967F-6EED50C00703}"/>
    <cellStyle name="A37" xfId="272" xr:uid="{D06E765D-7AE9-40E1-9CD7-09DED96961CE}"/>
    <cellStyle name="A38" xfId="273" xr:uid="{BC23DD82-FBD8-478D-BE3C-A86B2B0348DE}"/>
    <cellStyle name="Accent1 2" xfId="56" xr:uid="{90AC2C1A-93A3-4D63-84FD-99A5C201B90A}"/>
    <cellStyle name="Accent1 2 2" xfId="534" xr:uid="{936E7AB0-8647-48E6-9BFF-3DCE0A27DF02}"/>
    <cellStyle name="Accent1 2 2 2" xfId="1234" xr:uid="{94352AE7-4835-4023-B8AE-B63B18506E42}"/>
    <cellStyle name="Accent1 2 3" xfId="4702" xr:uid="{D39AB0D2-3C9F-4BDD-A234-7F37352954AA}"/>
    <cellStyle name="Accent1 2 3 2" xfId="6039" xr:uid="{9C46877E-D55E-42C3-A7EF-79B880A4DFB6}"/>
    <cellStyle name="Accent1 2 4" xfId="3956" xr:uid="{212618E4-4197-4E72-92C9-533FBD8C14B9}"/>
    <cellStyle name="Accent1 2 5" xfId="3294" xr:uid="{D63C2691-72E8-4639-A8BE-46B917176281}"/>
    <cellStyle name="Accent1 2 6" xfId="745" xr:uid="{438251CB-8938-4F73-9968-A9C08A71EFEC}"/>
    <cellStyle name="Accent1 2 7" xfId="7150" xr:uid="{8056CEC8-4DA3-4169-A6E5-804C6AE3791B}"/>
    <cellStyle name="Accent1 2 8" xfId="7140" xr:uid="{8EA11AFC-4C64-4821-A875-5ACCDB7DE7C0}"/>
    <cellStyle name="Accent1 3" xfId="488" xr:uid="{207DD6F6-E938-4058-96F9-966E2C1FC7D3}"/>
    <cellStyle name="Accent1 3 2" xfId="1235" xr:uid="{75789481-3474-4A48-AA29-F2D6C7E960AA}"/>
    <cellStyle name="Accent2 2" xfId="57" xr:uid="{C7DCCC9D-FDDB-48C4-A0F1-5AB4D6B32C49}"/>
    <cellStyle name="Accent2 2 2" xfId="535" xr:uid="{415B476E-AE78-4C25-9AB3-3A0C10189841}"/>
    <cellStyle name="Accent2 2 2 2" xfId="1236" xr:uid="{5554A6FC-9C1A-40B7-90F7-E3A1929F25E6}"/>
    <cellStyle name="Accent2 2 3" xfId="4750" xr:uid="{2AF3BE6C-397C-4467-A94D-DE7EFD0A9364}"/>
    <cellStyle name="Accent2 2 3 2" xfId="6040" xr:uid="{092E67FF-C85E-45A1-8544-F011BD237538}"/>
    <cellStyle name="Accent2 2 4" xfId="3957" xr:uid="{A9D779F8-3D90-485D-8B90-D219580172A7}"/>
    <cellStyle name="Accent2 2 5" xfId="3468" xr:uid="{173B7EA3-62D5-4804-92E9-D25D725A049E}"/>
    <cellStyle name="Accent2 2 6" xfId="831" xr:uid="{31B445B6-8404-4C15-AE6E-C5C9DBE7D03C}"/>
    <cellStyle name="Accent2 2 7" xfId="7248" xr:uid="{AD353F40-9BBA-4515-AD56-2228F2B02302}"/>
    <cellStyle name="Accent2 2 8" xfId="7024" xr:uid="{C16B2EC6-1241-4DB6-9200-0602ECBEAC5F}"/>
    <cellStyle name="Accent2 3" xfId="490" xr:uid="{16016FF5-7D55-4CDA-8073-EC6EF8B641BF}"/>
    <cellStyle name="Accent2 3 2" xfId="1237" xr:uid="{BCE6EB93-D16C-4434-A002-747F34813865}"/>
    <cellStyle name="Accent3 2" xfId="58" xr:uid="{DC0BF31F-7E79-4A78-9F92-B46475224CB4}"/>
    <cellStyle name="Accent3 2 2" xfId="536" xr:uid="{0425C108-5FB7-4AA8-8DB8-0A07910CF6BE}"/>
    <cellStyle name="Accent3 2 2 2" xfId="1238" xr:uid="{F17B86BF-B196-4E13-AC23-0605DFAFACA2}"/>
    <cellStyle name="Accent3 2 3" xfId="4701" xr:uid="{97F12864-34D8-4CA4-9081-2002845B5716}"/>
    <cellStyle name="Accent3 2 3 2" xfId="6041" xr:uid="{80FA82F7-AB9C-4A59-BAFE-3431A2B694BD}"/>
    <cellStyle name="Accent3 2 4" xfId="3958" xr:uid="{C33D6413-0F29-4E04-B16A-1ADCB27B58E9}"/>
    <cellStyle name="Accent3 2 5" xfId="3293" xr:uid="{0C894E09-818D-49EB-8EEF-470AC008C410}"/>
    <cellStyle name="Accent3 2 6" xfId="838" xr:uid="{AB59528A-03D5-4EE2-B1F2-FC7A2D309645}"/>
    <cellStyle name="Accent3 2 7" xfId="7092" xr:uid="{B339CF2E-623D-47D6-A3AF-8A8872632C3B}"/>
    <cellStyle name="Accent3 2 8" xfId="7156" xr:uid="{0FB6BDB4-8E1E-4618-B1C3-F4B45B848CC9}"/>
    <cellStyle name="Accent3 3" xfId="492" xr:uid="{44938CAC-E3E7-42E2-952A-B351BC74C748}"/>
    <cellStyle name="Accent3 3 2" xfId="1239" xr:uid="{921D2AE4-5873-4501-94D0-3A09B9F7D84D}"/>
    <cellStyle name="Accent4 2" xfId="59" xr:uid="{7B0492AF-90FA-4E19-B682-C0EA719D7BA4}"/>
    <cellStyle name="Accent4 2 2" xfId="537" xr:uid="{880AA9B9-9CB0-473C-B199-AC4725E5B095}"/>
    <cellStyle name="Accent4 2 2 2" xfId="1240" xr:uid="{FD0B4CA3-0E3A-46E8-8432-F7B282F611A9}"/>
    <cellStyle name="Accent4 2 3" xfId="4700" xr:uid="{CF6595D9-DAFA-4C23-8DD9-B28C1AE670A9}"/>
    <cellStyle name="Accent4 2 3 2" xfId="6042" xr:uid="{F038D216-4553-4AD0-8462-7AAC7993739C}"/>
    <cellStyle name="Accent4 2 4" xfId="3959" xr:uid="{FB45BCB3-6310-4B0D-9518-014E63664A4E}"/>
    <cellStyle name="Accent4 2 5" xfId="3292" xr:uid="{9E3112C5-B073-4761-8220-E278B9924556}"/>
    <cellStyle name="Accent4 2 6" xfId="841" xr:uid="{8191F4B8-0340-4C50-8797-4B0FF96E2024}"/>
    <cellStyle name="Accent4 2 7" xfId="7259" xr:uid="{6DF74B3C-F49C-4359-BEA9-5D457BFEF5FB}"/>
    <cellStyle name="Accent4 2 8" xfId="7243" xr:uid="{9B4CEC1A-A2C0-44E3-AAF3-2305A501C1B1}"/>
    <cellStyle name="Accent4 3" xfId="494" xr:uid="{71AA6B69-2F01-4C2B-918F-4F8D31FB4C62}"/>
    <cellStyle name="Accent4 3 2" xfId="1241" xr:uid="{EC6354CA-315E-488F-9893-70E61A6BBD99}"/>
    <cellStyle name="Accent5 2" xfId="60" xr:uid="{FA0130CD-9B51-4194-984A-0D648DB04C78}"/>
    <cellStyle name="Accent5 2 2" xfId="538" xr:uid="{73CD477D-B93F-443C-A32E-60A99AE8F138}"/>
    <cellStyle name="Accent5 2 2 2" xfId="1242" xr:uid="{F57F2031-A611-4A02-9FBB-5A77296B3AA0}"/>
    <cellStyle name="Accent5 2 2 3" xfId="7220" xr:uid="{F098EBD0-A90C-49EE-B858-E9F9DC819300}"/>
    <cellStyle name="Accent5 2 3" xfId="4699" xr:uid="{7B39CA0F-F295-4A2A-96A7-7F04136B0FDE}"/>
    <cellStyle name="Accent5 2 3 2" xfId="6043" xr:uid="{72FED505-AF10-4241-BC8E-4604891F2517}"/>
    <cellStyle name="Accent5 2 4" xfId="3960" xr:uid="{D4104E8B-6C9F-43B6-93F4-351AA873B778}"/>
    <cellStyle name="Accent5 2 5" xfId="3291" xr:uid="{C6563888-33BC-4381-A5DA-F81DA3080EE3}"/>
    <cellStyle name="Accent5 2 6" xfId="636" xr:uid="{BE71B21A-A00B-4A04-91C1-11F3F30945DE}"/>
    <cellStyle name="Accent5 2 7" xfId="7085" xr:uid="{7944AB63-04D5-4ECF-A1C9-EC13A782BE81}"/>
    <cellStyle name="Accent5 2 8" xfId="7298" xr:uid="{6E69D7C7-8B1B-4CEB-ACA2-A6E7CD9D5CB5}"/>
    <cellStyle name="Accent5 3" xfId="496" xr:uid="{3F713821-DBA3-4208-90E7-F0DF313B65F8}"/>
    <cellStyle name="Accent5 3 2" xfId="1243" xr:uid="{E3D6450F-8CCB-4173-A5A6-0A7DF1BA8DD9}"/>
    <cellStyle name="Accent6 2" xfId="61" xr:uid="{23F9BCD6-2CC9-4C7E-BF0E-4C4EA3B07D61}"/>
    <cellStyle name="Accent6 2 2" xfId="539" xr:uid="{59191BFD-90F5-4119-99F0-ED8A725CFD58}"/>
    <cellStyle name="Accent6 2 2 2" xfId="1244" xr:uid="{CBD5C596-29AE-44D0-92D3-8072A2C4942F}"/>
    <cellStyle name="Accent6 2 3" xfId="4749" xr:uid="{22A5E89E-B126-4492-9671-B7E11B1D1190}"/>
    <cellStyle name="Accent6 2 3 2" xfId="6044" xr:uid="{320213BB-E2AC-4B3D-AFB3-8515CDF51E9A}"/>
    <cellStyle name="Accent6 2 4" xfId="3961" xr:uid="{3ED95CE3-8896-4816-B9DB-89996D0364D7}"/>
    <cellStyle name="Accent6 2 5" xfId="3467" xr:uid="{07AD5C9E-4B1D-48E7-AA02-959DEE465469}"/>
    <cellStyle name="Accent6 2 6" xfId="637" xr:uid="{DADB8FC7-6E7B-441C-96AC-4346021440CB}"/>
    <cellStyle name="Accent6 2 7" xfId="7294" xr:uid="{E9C29C56-1E9D-4335-B8E7-9E66669A98CF}"/>
    <cellStyle name="Accent6 2 8" xfId="7062" xr:uid="{C3FB36F1-A0D7-40EF-9AD7-70064F6B0132}"/>
    <cellStyle name="Accent6 3" xfId="498" xr:uid="{4C1C7B28-DBFB-4286-A43C-5A4B7F5A5FE2}"/>
    <cellStyle name="Accent6 3 2" xfId="1245" xr:uid="{01DA097C-C5BA-4DF2-8CA5-CD0DD99B47B9}"/>
    <cellStyle name="amount" xfId="274" xr:uid="{E34A009B-E210-4EED-A35E-9AC8B081F139}"/>
    <cellStyle name="APPS_DEG_Basic_Bordered_Date" xfId="1626" xr:uid="{EE9400B9-C8C6-47D3-B0B0-5B19D52E034B}"/>
    <cellStyle name="ARIAL" xfId="671" xr:uid="{1B8BC06D-70E2-49EE-8E3C-EE69A77D09FA}"/>
    <cellStyle name="ations]_x000d__x000a_Number=1_x000d__x000a_Microsoft Excel=0_x000d__x000a__x000d__x000a_[FileManager]_x000d__x000a_Flags=4_x000d__x000a_Column0=41_x000d__x000a_Column1=55_x000d__x000a_Column2=63_x000d_" xfId="3466" xr:uid="{5B9BB24C-F640-4888-AE6D-0D8E9EEDBDC9}"/>
    <cellStyle name="B38" xfId="275" xr:uid="{E777BD48-9D82-43DB-A282-63C94279E974}"/>
    <cellStyle name="Bad 2" xfId="62" xr:uid="{42BBEC23-06C2-41CA-9A31-43811859ABFB}"/>
    <cellStyle name="Bad 2 2" xfId="540" xr:uid="{7B9AFE57-E3A2-4967-A0BE-A55CE7E68D00}"/>
    <cellStyle name="Bad 2 2 2" xfId="1246" xr:uid="{73949855-8296-4B08-8F4A-BAEA09A17B6B}"/>
    <cellStyle name="Bad 2 3" xfId="4698" xr:uid="{EBF44CF2-6079-41E1-BA15-540A30A5BDF4}"/>
    <cellStyle name="Bad 2 3 2" xfId="6045" xr:uid="{6F138EB4-EC29-427D-9890-6900E2831CA2}"/>
    <cellStyle name="Bad 2 4" xfId="3962" xr:uid="{67ADCA57-8FC6-4520-8547-96DE1514A3CC}"/>
    <cellStyle name="Bad 2 5" xfId="3290" xr:uid="{892E5072-4394-429E-B648-4065845D175E}"/>
    <cellStyle name="Bad 2 6" xfId="797" xr:uid="{6CCD3774-69E9-4478-8D70-3EF8C761A570}"/>
    <cellStyle name="Bad 2 7" xfId="7029" xr:uid="{EFBA3491-93BA-4D36-8257-7D70D27BF59F}"/>
    <cellStyle name="Bad 2 8" xfId="7166" xr:uid="{069E434A-52A2-4DAF-8CD3-943D53210A9C}"/>
    <cellStyle name="Bad 3" xfId="478" xr:uid="{29DE0241-7164-413B-B60B-31F0B7F3C7F5}"/>
    <cellStyle name="Bad 3 2" xfId="1247" xr:uid="{4767FD27-2A87-486F-AD50-7747D5C0CD33}"/>
    <cellStyle name="Body" xfId="629" xr:uid="{CEFBCFE4-20FD-4C53-8F15-21D35D4CC6CE}"/>
    <cellStyle name="Body 2" xfId="1432" xr:uid="{F0EFBCBD-8C03-4A85-8549-EA403031673D}"/>
    <cellStyle name="Body 2 2" xfId="1485" xr:uid="{96B136C9-40AF-4EAE-88AC-AD15990FEB6A}"/>
    <cellStyle name="Body 3" xfId="1451" xr:uid="{088E97CC-9452-4ACF-8ADF-281DCA5E40AC}"/>
    <cellStyle name="Body 3 2" xfId="1492" xr:uid="{96DAA4D4-E0AA-476B-970E-E0CA40D7B23F}"/>
    <cellStyle name="Body 4" xfId="1420" xr:uid="{B506B5E7-FF90-4B59-A354-A4C53B30D20D}"/>
    <cellStyle name="Body_รถใช้งาน SCBL update -21 พค.57-จนท.ภาคสนาม ลบ" xfId="1454" xr:uid="{0955B21D-6218-4B6E-9DA3-DE86CE53676A}"/>
    <cellStyle name="Border" xfId="907" xr:uid="{B926FE89-ACEB-4060-BF31-0F1E6CF29262}"/>
    <cellStyle name="Calc Currency (0)" xfId="920" xr:uid="{8B06AF0C-E08A-4EDD-86C1-BCEA905878A1}"/>
    <cellStyle name="Calc Currency (0) 2" xfId="766" xr:uid="{B6B5866B-F8F2-43AF-B8F6-00BA660B5AEA}"/>
    <cellStyle name="Calc Currency (0) 2 2" xfId="1039" xr:uid="{9971EF7F-C9C2-40D0-8CCA-F5553B9DE7BE}"/>
    <cellStyle name="Calc Currency (0) 2 2 2" xfId="1249" xr:uid="{4FAD4389-093F-4D6D-9503-09CD1FB0E25D}"/>
    <cellStyle name="Calc Currency (0) 2 3" xfId="1248" xr:uid="{00CE7E5C-28B0-4B5F-82E4-4B0E1DD2EA3A}"/>
    <cellStyle name="Calc Currency (0) 3" xfId="1250" xr:uid="{D256B7E8-9FE5-4A2A-ADD7-95B21F54E478}"/>
    <cellStyle name="Calc Currency (0)_Bank Recconcile 14 Oct 2016" xfId="3289" xr:uid="{92B44C72-73EC-4D65-AFFC-8E4E30A8FF7B}"/>
    <cellStyle name="Calc Currency (2)" xfId="627" xr:uid="{07B42B19-DC6B-4EF7-9821-5F780BDA7FEC}"/>
    <cellStyle name="Calc Percent (0)" xfId="764" xr:uid="{632CE82B-7AC8-4661-B66E-47735129B83B}"/>
    <cellStyle name="Calc Percent (1)" xfId="861" xr:uid="{B588D42E-C5B5-4D2C-B65B-D416F9BE7A27}"/>
    <cellStyle name="Calc Percent (1) 2" xfId="782" xr:uid="{428ADD87-DED0-4DD8-AA86-9434A97F3040}"/>
    <cellStyle name="Calc Percent (1) 2 2" xfId="1040" xr:uid="{03BC78A7-E73F-43DB-B12F-993E41310BC4}"/>
    <cellStyle name="Calc Percent (1) 3" xfId="1251" xr:uid="{A9960B16-A65E-4BFC-9990-1DAC915A34B9}"/>
    <cellStyle name="Calc Percent (1)_Bank Recconcile 14 Oct 2016" xfId="3465" xr:uid="{5000FEE9-E808-4633-A337-C15C07D73FD0}"/>
    <cellStyle name="Calc Percent (2)" xfId="232" xr:uid="{B52B6A13-FA06-47F2-800D-3E04E5ED5070}"/>
    <cellStyle name="Calc Percent (2) 2" xfId="713" xr:uid="{358BB1F2-0B0E-4AA9-B8CE-D89FF072643C}"/>
    <cellStyle name="Calc Percent (2) 2 2" xfId="1041" xr:uid="{D10138E7-7AB7-43EF-A680-EE4BD7398532}"/>
    <cellStyle name="Calc Percent (2) 2 2 2" xfId="1253" xr:uid="{EED4B110-5B5D-48AD-BB76-EE3EDC0BA11D}"/>
    <cellStyle name="Calc Percent (2) 2 3" xfId="1252" xr:uid="{129EC39D-AE0C-4E41-BDCB-6441F814AFFF}"/>
    <cellStyle name="Calc Percent (2) 3" xfId="1254" xr:uid="{DF428800-7E45-4344-A257-B45201463520}"/>
    <cellStyle name="Calc Percent (2)_Bank Recconcile 14 Oct 2016" xfId="3464" xr:uid="{BEF057E9-4B10-4D55-B5FA-6D2E4476756E}"/>
    <cellStyle name="Calc Units (0)" xfId="625" xr:uid="{F32D5246-B79A-4101-9DC9-C0488CD3C135}"/>
    <cellStyle name="Calc Units (0) 2" xfId="714" xr:uid="{2C3290AF-9379-40E1-9695-324D7FC10CF9}"/>
    <cellStyle name="Calc Units (0) 2 2" xfId="1042" xr:uid="{639C89DB-B5C0-4FA1-A172-14D8F4206BDA}"/>
    <cellStyle name="Calc Units (0) 2 2 2" xfId="1256" xr:uid="{A418E949-8578-49E5-857F-0F1137E1BECD}"/>
    <cellStyle name="Calc Units (0) 2 3" xfId="1255" xr:uid="{E39387B2-98E1-4B6D-9EA2-55E0C802335B}"/>
    <cellStyle name="Calc Units (0) 3" xfId="1257" xr:uid="{6A789BEB-72FE-4738-9C8D-547567E6536F}"/>
    <cellStyle name="Calc Units (0)_Bank Recconcile 14 Oct 2016" xfId="3288" xr:uid="{C56D6B68-864B-483D-9BF4-AB02C86C56AA}"/>
    <cellStyle name="Calc Units (1)" xfId="654" xr:uid="{258BD9C7-4B20-4367-ABAD-E547CCC17BF1}"/>
    <cellStyle name="Calc Units (1) 2" xfId="715" xr:uid="{FF7EFA7E-755F-4F57-8B53-3E8E8E2684D7}"/>
    <cellStyle name="Calc Units (1) 2 2" xfId="1043" xr:uid="{60520F1C-E845-43A6-83FF-53A1362D1470}"/>
    <cellStyle name="Calc Units (1) 2 2 2" xfId="1260" xr:uid="{5A3ED10E-3625-4D62-98AB-5FC1BFAE8CEC}"/>
    <cellStyle name="Calc Units (1) 2 3" xfId="1259" xr:uid="{385B7C68-39A1-45E4-ADC7-D1A6CF881CC5}"/>
    <cellStyle name="Calc Units (1) 3" xfId="1261" xr:uid="{B9C47CFD-49B8-4766-B63F-D4F84CAE8A1D}"/>
    <cellStyle name="Calc Units (1)_Bank Recconcile 14 Oct 2016" xfId="3287" xr:uid="{4F050057-D800-46B9-89A9-0C491F7FCB54}"/>
    <cellStyle name="Calc Units (2)" xfId="886" xr:uid="{FE43A339-6617-4BDF-8848-6DAE61F135B4}"/>
    <cellStyle name="Calculation 2" xfId="63" xr:uid="{099F0D32-979F-4915-8590-E3EE52771818}"/>
    <cellStyle name="Calculation 2 2" xfId="541" xr:uid="{67DB474B-2A5C-4B82-BDFA-585A2D6465CD}"/>
    <cellStyle name="Calculation 2 2 2" xfId="1262" xr:uid="{D27E67F9-F81B-4F83-9937-2ACF0943F709}"/>
    <cellStyle name="Calculation 2 3" xfId="4697" xr:uid="{9AE5DF8B-63B8-403A-BCDA-337C11025C40}"/>
    <cellStyle name="Calculation 2 3 2" xfId="6046" xr:uid="{CFB436E3-FEE5-4886-A0D4-79D4EB8B41A7}"/>
    <cellStyle name="Calculation 2 4" xfId="3963" xr:uid="{09AD99BB-6A27-4AEA-BF69-DD6B571B1F0A}"/>
    <cellStyle name="Calculation 2 5" xfId="3286" xr:uid="{312B1E51-ADE5-426F-ABC4-D32867CA15BE}"/>
    <cellStyle name="Calculation 2 6" xfId="747" xr:uid="{7B57F7B3-93A4-4B8C-8791-9C23508A3110}"/>
    <cellStyle name="Calculation 2 7" xfId="7131" xr:uid="{7C19A2D0-20E8-41B4-ADA8-0401026F624E}"/>
    <cellStyle name="Calculation 3" xfId="482" xr:uid="{43E74095-2AA5-4A95-9EA9-551265DB226C}"/>
    <cellStyle name="Calculation 3 2" xfId="4696" xr:uid="{ED054FE2-4185-42C7-A3BF-DECC93836408}"/>
    <cellStyle name="Calculation 3 3" xfId="4106" xr:uid="{B4304304-4E44-4D36-B958-81A548DA7B35}"/>
    <cellStyle name="Calculation 3 4" xfId="3285" xr:uid="{84DDC0E2-F7ED-49FF-9C7B-1AFD61719F28}"/>
    <cellStyle name="Calculation 3 5" xfId="1263" xr:uid="{E79B18DD-C77E-4562-9278-A00829268FD4}"/>
    <cellStyle name="Calculation 4" xfId="7255" xr:uid="{A91E89E4-A68C-4E78-A865-9248426CEF44}"/>
    <cellStyle name="Change A&amp;ll" xfId="276" xr:uid="{38E32163-E689-4AB1-A922-491BACCBCFA0}"/>
    <cellStyle name="Change A&amp;ll 2" xfId="650" xr:uid="{951DFDA8-DF45-428D-AE2E-4DB0D68A4B7B}"/>
    <cellStyle name="Check Cell 2" xfId="64" xr:uid="{48461D99-14F7-4570-AB7F-A882F27592FB}"/>
    <cellStyle name="Check Cell 2 2" xfId="542" xr:uid="{05872FEC-C85F-46A6-A914-28CAA655B51D}"/>
    <cellStyle name="Check Cell 2 2 2" xfId="1264" xr:uid="{682BEEDC-F41B-4030-81F8-5A1BF98B547E}"/>
    <cellStyle name="Check Cell 2 3" xfId="4695" xr:uid="{F93C1A54-AEA6-481F-8214-068E06FF25B9}"/>
    <cellStyle name="Check Cell 2 3 2" xfId="6047" xr:uid="{7A66F92F-8FA1-4578-8782-9F32CB01A705}"/>
    <cellStyle name="Check Cell 2 4" xfId="3964" xr:uid="{AA234A3A-D284-41EE-8FFB-8ECC7AB7BDE0}"/>
    <cellStyle name="Check Cell 2 5" xfId="3284" xr:uid="{0F58CDA5-1F35-4C36-BF6A-E736427A07A5}"/>
    <cellStyle name="Check Cell 2 6" xfId="741" xr:uid="{6BF76904-4529-4B31-B849-627F21E35E0F}"/>
    <cellStyle name="Check Cell 2 7" xfId="7101" xr:uid="{EC8AC75D-C71C-44AB-9209-7D8905EF88DC}"/>
    <cellStyle name="Check Cell 3" xfId="484" xr:uid="{A55F1F97-AB3B-4D8B-B9EE-9796A8158178}"/>
    <cellStyle name="Check Cell 3 2" xfId="1265" xr:uid="{50FF9FF8-3DF7-4158-813D-64D4145B705C}"/>
    <cellStyle name="Check Cell 4" xfId="7273" xr:uid="{473BB326-2ECA-4295-9B67-11E0CD79B2FD}"/>
    <cellStyle name="Comma" xfId="1" builtinId="3"/>
    <cellStyle name="Comma  - Style1" xfId="806" xr:uid="{C604EFB1-CEC6-412C-ACD8-54A14BA5ECF4}"/>
    <cellStyle name="Comma  - Style1 2" xfId="1267" xr:uid="{A29617EA-089C-48BA-B113-C9655179D14E}"/>
    <cellStyle name="Comma  - Style2" xfId="778" xr:uid="{FC12C134-D2EA-4F60-96FC-2C2D759B9D86}"/>
    <cellStyle name="Comma  - Style2 2" xfId="1268" xr:uid="{8BD1472C-8134-4AD1-B103-20DB8D5BB7C2}"/>
    <cellStyle name="Comma  - Style3" xfId="958" xr:uid="{137EB8B8-199F-41A5-9C8B-1909F0DD4CA6}"/>
    <cellStyle name="Comma  - Style3 2" xfId="1269" xr:uid="{0F046BAE-09A7-4936-9958-A2D039094B15}"/>
    <cellStyle name="Comma  - Style4" xfId="673" xr:uid="{8346E946-B344-4D2D-824F-80AD2BFEC46B}"/>
    <cellStyle name="Comma  - Style4 2" xfId="1270" xr:uid="{109E7BA8-DE61-43D3-921F-34DB361E8130}"/>
    <cellStyle name="Comma  - Style5" xfId="904" xr:uid="{CF42E491-206A-496E-B74F-8D27E65E20E0}"/>
    <cellStyle name="Comma  - Style5 2" xfId="1271" xr:uid="{ECAA3566-E7E6-4FC5-84F9-ED1488E6608E}"/>
    <cellStyle name="Comma  - Style6" xfId="917" xr:uid="{87A6402E-30FD-46E4-A732-4B3CADA06FF8}"/>
    <cellStyle name="Comma  - Style6 2" xfId="1272" xr:uid="{D51EACBB-1E94-409D-9F95-5683A570763C}"/>
    <cellStyle name="Comma  - Style7" xfId="799" xr:uid="{54B776CA-305C-475D-BDF5-D050D6105E67}"/>
    <cellStyle name="Comma  - Style7 2" xfId="1273" xr:uid="{C488B30E-A0D0-42F2-B24C-C198460AA566}"/>
    <cellStyle name="Comma  - Style8" xfId="742" xr:uid="{4F21C58F-BEFC-40AF-A669-D9C88CAAA3AA}"/>
    <cellStyle name="Comma  - Style8 2" xfId="1274" xr:uid="{0567C7FA-9D65-41E1-9D43-D4DDF5EB77C6}"/>
    <cellStyle name="Comma [0] 2" xfId="514" xr:uid="{5CB9A460-BC1D-49AE-9A61-A4B18C399BA7}"/>
    <cellStyle name="Comma [0] 3" xfId="513" xr:uid="{A24781F0-5B47-48D5-A73D-4993616D7947}"/>
    <cellStyle name="Comma [00]" xfId="312" xr:uid="{2C101E15-56C8-4B4A-958E-E4503AEC8FE4}"/>
    <cellStyle name="Comma [00] 2" xfId="717" xr:uid="{170842A5-718B-49E7-800A-F4E5C7877F0F}"/>
    <cellStyle name="Comma [00] 2 2" xfId="1044" xr:uid="{4B1D7CF1-A6BA-4296-BB4E-0FB371243DB3}"/>
    <cellStyle name="Comma [00] 2 2 2" xfId="1276" xr:uid="{49649AF4-DBDD-4211-9556-1C08524A2C61}"/>
    <cellStyle name="Comma [00] 2 3" xfId="1275" xr:uid="{12DAFAFE-EAE3-4C18-BD7F-E72134E8F65D}"/>
    <cellStyle name="Comma [00] 3" xfId="1277" xr:uid="{2F5CB85D-1FC9-4C3C-8707-6687BF71F356}"/>
    <cellStyle name="Comma 10" xfId="66" xr:uid="{235B3646-3311-4716-8707-1E65EF349662}"/>
    <cellStyle name="Comma 10 2" xfId="67" xr:uid="{41D38693-F021-48F8-8CEC-338F8CE73C95}"/>
    <cellStyle name="Comma 10 2 2" xfId="1029" xr:uid="{B7411632-2971-4C41-A883-A7600F2CFC69}"/>
    <cellStyle name="Comma 10 2 2 2" xfId="1168" xr:uid="{6B2744F6-30DF-4910-96A6-9F463B5DE89A}"/>
    <cellStyle name="Comma 10 2 2 2 2" xfId="5663" xr:uid="{FE5F6A61-D4C2-4C1B-B5E0-1FFEC54819D6}"/>
    <cellStyle name="Comma 10 2 2 2 3" xfId="5521" xr:uid="{2B349426-F7C3-4B8E-9D78-32E2CF66059D}"/>
    <cellStyle name="Comma 10 2 2 3" xfId="2603" xr:uid="{22BAA321-DCED-4650-A4F9-D0981DCE9887}"/>
    <cellStyle name="Comma 10 2 2 3 2" xfId="4740" xr:uid="{2D96719F-E82A-4D7F-B6CB-A1912606FD2A}"/>
    <cellStyle name="Comma 10 2 2 4" xfId="3996" xr:uid="{201C58A5-775D-4C08-933B-28B349E04148}"/>
    <cellStyle name="Comma 10 2 2 5" xfId="3456" xr:uid="{146281AB-0BFB-4CD6-BE83-2933C459D8CC}"/>
    <cellStyle name="Comma 10 2 2 6" xfId="7013" xr:uid="{122EA810-B86F-42BA-9B11-91DEDDE82F40}"/>
    <cellStyle name="Comma 10 2 3" xfId="2612" xr:uid="{37F7004A-0EEA-4620-B24F-96D522094A8A}"/>
    <cellStyle name="Comma 10 2 3 2" xfId="5940" xr:uid="{54D4804E-1647-46C6-81C8-0C6550D9B5CF}"/>
    <cellStyle name="Comma 10 2 4" xfId="5501" xr:uid="{07BE0950-4BE9-4E22-AB92-22A241EDC492}"/>
    <cellStyle name="Comma 10 2 4 2" xfId="5858" xr:uid="{812D13DA-B61A-4CC7-A60C-1E74E26A62F2}"/>
    <cellStyle name="Comma 10 2 5" xfId="1045" xr:uid="{0EDB867F-A9C7-489C-92E5-1285B04076FC}"/>
    <cellStyle name="Comma 10 2 6" xfId="7043" xr:uid="{491E4EB6-B06D-43B7-8597-7D6085E2FDA0}"/>
    <cellStyle name="Comma 10 3" xfId="68" xr:uid="{306B83EA-D4DD-4773-9CAB-EB1770CE72C1}"/>
    <cellStyle name="Comma 10 3 2" xfId="2646" xr:uid="{D27B37D2-AAE9-417F-A82A-0614A4208253}"/>
    <cellStyle name="Comma 10 3 2 2" xfId="4741" xr:uid="{F2A1521E-423E-4E6E-AC6F-2AE3D5F86346}"/>
    <cellStyle name="Comma 10 3 3" xfId="1980" xr:uid="{FE556F05-68B4-4DFE-885B-7E539E341A64}"/>
    <cellStyle name="Comma 10 3 3 2" xfId="4041" xr:uid="{2312DA87-7E27-4130-9431-4B9EC2F842BE}"/>
    <cellStyle name="Comma 10 3 4" xfId="1127" xr:uid="{6FE90576-FEBD-44B2-83DA-CEC134DB0B93}"/>
    <cellStyle name="Comma 10 4" xfId="69" xr:uid="{715691E7-5D01-493A-B8A3-0F69B77A01D2}"/>
    <cellStyle name="Comma 10 4 12" xfId="7162" xr:uid="{07276F31-A73F-4AE3-AEB7-F240D7301BE6}"/>
    <cellStyle name="Comma 10 4 2" xfId="4661" xr:uid="{8A4A1C3A-294C-4755-AEF4-5CC9206C6248}"/>
    <cellStyle name="Comma 10 4 3" xfId="4108" xr:uid="{7A3B7122-1DA2-4D0E-8F85-7627CE380935}"/>
    <cellStyle name="Comma 10 4 4" xfId="3257" xr:uid="{A2B15A07-D726-4BCE-B8C4-257DB1E344AB}"/>
    <cellStyle name="Comma 10 4 5" xfId="1278" xr:uid="{E6836C74-C1E1-4F1B-A9E8-33AE3F091BE9}"/>
    <cellStyle name="Comma 10 5" xfId="278" xr:uid="{D9B51E81-BB85-41A4-94E9-AC4D33CD15E9}"/>
    <cellStyle name="Comma 10 5 2" xfId="4693" xr:uid="{3BC6F902-92D6-477B-A9E0-F58BCFE980DE}"/>
    <cellStyle name="Comma 10 5 3" xfId="3282" xr:uid="{024ECD78-8FF2-4CA9-B7EA-5C92C2479AD4}"/>
    <cellStyle name="Comma 10 5 4" xfId="2563" xr:uid="{E3B936C6-A113-4216-82C5-F4E1501D0E40}"/>
    <cellStyle name="Comma 10 6" xfId="748" xr:uid="{4F1A19A4-89DA-4F09-90FF-B7DA44282398}"/>
    <cellStyle name="Comma 10 7" xfId="7295" xr:uid="{804DBB24-4638-4746-95E7-61FC1BDF3958}"/>
    <cellStyle name="Comma 100" xfId="7056" xr:uid="{F45765C0-2783-44A1-B3C7-EED8B9F51A03}"/>
    <cellStyle name="Comma 101" xfId="7252" xr:uid="{F857B485-4629-43EC-964C-050BAE53703A}"/>
    <cellStyle name="Comma 102" xfId="7271" xr:uid="{DD77EC9A-73C1-4DAC-9103-84249D8AF1FC}"/>
    <cellStyle name="Comma 103" xfId="7173" xr:uid="{7D29F5C0-4203-4EF0-B0E9-13E3DE5BBCAE}"/>
    <cellStyle name="Comma 104" xfId="7045" xr:uid="{3D457E61-43B8-49F0-B5EC-B66681DEFE2C}"/>
    <cellStyle name="Comma 105" xfId="7172" xr:uid="{BD172320-4D4C-450E-94FD-7581849AD83F}"/>
    <cellStyle name="Comma 106" xfId="7318" xr:uid="{C5D6254A-CEEC-415C-B25F-4B484F169837}"/>
    <cellStyle name="Comma 107" xfId="7324" xr:uid="{5AD84317-5CE9-44DE-997F-4C2DA1255DC2}"/>
    <cellStyle name="Comma 108" xfId="7334" xr:uid="{EFEF7DAB-E06A-4A1B-97AE-87DBBB72B2F6}"/>
    <cellStyle name="Comma 109" xfId="7342" xr:uid="{3C127E65-383B-49C5-BA95-54B9F27ADC8B}"/>
    <cellStyle name="Comma 11" xfId="279" xr:uid="{BDE43B45-F452-4FE5-8751-8FDBEED498F9}"/>
    <cellStyle name="Comma 11 10" xfId="875" xr:uid="{BDFAE088-15F4-43DC-AD81-EE91AC9F5503}"/>
    <cellStyle name="Comma 11 11" xfId="743" xr:uid="{1C3E0E10-57A2-4F23-8C75-CD850011695B}"/>
    <cellStyle name="Comma 11 12" xfId="7017" xr:uid="{0847F9A5-AEA3-4A6D-8260-3800A7A9A904}"/>
    <cellStyle name="Comma 11 2" xfId="1030" xr:uid="{01AA4829-8CB7-4335-821C-3C134B45D386}"/>
    <cellStyle name="Comma 11 2 2" xfId="1169" xr:uid="{906C6D58-86B8-4508-9578-54AD1E7AE54E}"/>
    <cellStyle name="Comma 11 2 2 2" xfId="5664" xr:uid="{EB82360C-D536-410E-8A5F-76A38668A317}"/>
    <cellStyle name="Comma 11 2 2 3" xfId="5522" xr:uid="{3B83401F-AAD5-43D8-9F6E-182391F2C691}"/>
    <cellStyle name="Comma 11 2 3" xfId="2604" xr:uid="{C92DDA7E-DDED-47AF-85DA-0B5B1094EB99}"/>
    <cellStyle name="Comma 11 2 3 2" xfId="4662" xr:uid="{C35AEFDF-D814-4711-90EA-F9D2B24F55D7}"/>
    <cellStyle name="Comma 11 2 4" xfId="3997" xr:uid="{55435307-E872-4431-A951-8FD5D5F6BB49}"/>
    <cellStyle name="Comma 11 2 5" xfId="3258" xr:uid="{A7CBBF2E-0FEC-462C-AEB1-8D92EB076B60}"/>
    <cellStyle name="Comma 11 3" xfId="1046" xr:uid="{341C518C-F94F-41C1-ACDB-57C47D17A52D}"/>
    <cellStyle name="Comma 11 3 2" xfId="2613" xr:uid="{1BD4A93B-FEB5-4D13-8DCB-7F6CD0F3CB88}"/>
    <cellStyle name="Comma 11 3 2 2" xfId="4692" xr:uid="{6B6B488D-7A34-47B3-877E-00BCA598D776}"/>
    <cellStyle name="Comma 11 3 2 2 2" xfId="5941" xr:uid="{16EA2412-35D9-45D3-B309-D13A93C05911}"/>
    <cellStyle name="Comma 11 3 3" xfId="4003" xr:uid="{C2E016E7-6C18-47DC-99CF-0248EC268BB6}"/>
    <cellStyle name="Comma 11 3 3 2" xfId="5859" xr:uid="{6FA0B145-2D96-4B0D-883D-FC56F79DCEBA}"/>
    <cellStyle name="Comma 11 3 4" xfId="3281" xr:uid="{D69DAE4B-2DB5-4E5E-B551-CF990D2FB6E8}"/>
    <cellStyle name="Comma 11 4" xfId="1128" xr:uid="{26FE8E94-2EBB-43C6-80CA-42E9D622187F}"/>
    <cellStyle name="Comma 11 4 2" xfId="5646" xr:uid="{1011726C-97F5-416F-A037-F032D0A9D8E8}"/>
    <cellStyle name="Comma 11 4 3" xfId="5515" xr:uid="{36CE95B3-5CFF-49C3-AA5F-8F5124864E92}"/>
    <cellStyle name="Comma 11 5" xfId="1279" xr:uid="{565DE45D-FEA6-411C-A5C5-F41A4D7081FB}"/>
    <cellStyle name="Comma 11 6" xfId="2564" xr:uid="{48049321-B6CC-43AB-809F-C02043682AF7}"/>
    <cellStyle name="Comma 11 6 2" xfId="5631" xr:uid="{9EF66993-CD69-482B-ADA3-7DA45BE4BE04}"/>
    <cellStyle name="Comma 11 6 3" xfId="5423" xr:uid="{EF483C6E-42DA-4F3F-8BE1-B2D2F02491BE}"/>
    <cellStyle name="Comma 11 7" xfId="5457" xr:uid="{BAB87CA8-5F7F-4ADE-BC7C-C9D464724D3E}"/>
    <cellStyle name="Comma 11 7 2" xfId="5738" xr:uid="{50B3CE8E-DB90-47C6-B292-F98E0655B2FA}"/>
    <cellStyle name="Comma 11 7 2 2" xfId="6706" xr:uid="{DC444072-26FA-4942-90FD-7582AF6F4F2E}"/>
    <cellStyle name="Comma 11 7 3" xfId="6184" xr:uid="{8D0245A6-AC59-4F6B-BC69-3288E1691DFD}"/>
    <cellStyle name="Comma 11 8" xfId="5622" xr:uid="{16B274B4-8ACA-4769-9D67-8E7D9AB6F871}"/>
    <cellStyle name="Comma 11 8 2" xfId="5931" xr:uid="{40149497-4651-48DA-8F5B-2A309F643156}"/>
    <cellStyle name="Comma 11 8 2 2" xfId="6948" xr:uid="{C001C117-CCCB-4693-A20B-B26BDF83877E}"/>
    <cellStyle name="Comma 11 8 3" xfId="6558" xr:uid="{8C4551D3-DD2A-4BDD-89C0-489C01D5EA43}"/>
    <cellStyle name="Comma 11 9" xfId="6072" xr:uid="{BAE9677A-FC8F-4866-A4CC-48219E84472D}"/>
    <cellStyle name="Comma 110" xfId="7332" xr:uid="{2AFEE147-E0E4-4AC7-905E-075E85585570}"/>
    <cellStyle name="Comma 111" xfId="7340" xr:uid="{DEC32E0F-EB41-4988-92B9-9187C7D39539}"/>
    <cellStyle name="Comma 112" xfId="7328" xr:uid="{F0225883-539C-4D68-8841-80A4D1BB3109}"/>
    <cellStyle name="Comma 113" xfId="7326" xr:uid="{5B9C5EA1-BAF2-4C55-B064-02DAA65A9DA2}"/>
    <cellStyle name="Comma 114" xfId="206" xr:uid="{9DC3FFB7-017E-404D-8303-5C5DE263FF4A}"/>
    <cellStyle name="Comma 115" xfId="7345" xr:uid="{200FC9E8-F8AD-4AD7-A50F-D0E65C51BD50}"/>
    <cellStyle name="Comma 116" xfId="7348" xr:uid="{B6B7128D-41E0-4D46-B0DE-35BD16D8E697}"/>
    <cellStyle name="Comma 117" xfId="7352" xr:uid="{C4300B68-EA23-4ACD-8697-1F10758E656C}"/>
    <cellStyle name="Comma 12" xfId="280" xr:uid="{44CB2E75-67EE-42A2-805D-C58601099C61}"/>
    <cellStyle name="Comma 12 2" xfId="281" xr:uid="{37EEF32A-AABA-4DED-8D5B-96684A656A4B}"/>
    <cellStyle name="Comma 12 2 2" xfId="1478" xr:uid="{972190EF-9C4D-4A08-B1E9-995CF5888FAC}"/>
    <cellStyle name="Comma 12 2 2 2" xfId="5682" xr:uid="{05FDDBCE-3701-4572-A67D-9B555A4F70CB}"/>
    <cellStyle name="Comma 12 2 2 3" xfId="5534" xr:uid="{B5F96C84-849D-42F3-8658-B40C05875F73}"/>
    <cellStyle name="Comma 12 2 3" xfId="4663" xr:uid="{686187A5-D4C5-4994-B772-32EC1B45563D}"/>
    <cellStyle name="Comma 12 2 4" xfId="1047" xr:uid="{243DABBA-1011-42BB-AA45-03942B803BB5}"/>
    <cellStyle name="Comma 12 2 5" xfId="7238" xr:uid="{9545135B-95CE-40B7-87F2-AE09CC869374}"/>
    <cellStyle name="Comma 12 3" xfId="1129" xr:uid="{F42276E8-232E-4F56-8E5E-A5F9F1059306}"/>
    <cellStyle name="Comma 12 3 2" xfId="4691" xr:uid="{68EB59FB-E710-4624-9D7E-859523366C0E}"/>
    <cellStyle name="Comma 12 3 2 2" xfId="5647" xr:uid="{C59C591C-C877-4935-8D58-868B13117DC0}"/>
    <cellStyle name="Comma 12 3 3" xfId="4042" xr:uid="{FC69CAFF-F18B-4611-B677-92C845C21002}"/>
    <cellStyle name="Comma 12 3 4" xfId="3280" xr:uid="{3A81B7E5-D28F-4700-98B8-359396798238}"/>
    <cellStyle name="Comma 12 4" xfId="2565" xr:uid="{7AC79AA0-1F2E-499C-A0CA-161F0C61D779}"/>
    <cellStyle name="Comma 12 4 2" xfId="5632" xr:uid="{1F004468-8251-43B9-90B8-FF3160BF3D5D}"/>
    <cellStyle name="Comma 12 4 3" xfId="5424" xr:uid="{91C74FCC-E4B6-42D7-BB2B-E51772D8D623}"/>
    <cellStyle name="Comma 12 5" xfId="5618" xr:uid="{E796B8E7-6861-4F92-9733-FEA8DC284355}"/>
    <cellStyle name="Comma 12 6" xfId="754" xr:uid="{6D95CF3B-421A-453C-A5D7-40D246003B28}"/>
    <cellStyle name="Comma 12 7" xfId="800" xr:uid="{F90F2954-2373-42FA-A851-A8CB83C80656}"/>
    <cellStyle name="Comma 12 8" xfId="7019" xr:uid="{065FBA5F-73CA-4C7F-A730-4CB7A62BA389}"/>
    <cellStyle name="Comma 13" xfId="70" xr:uid="{FFA90212-8A77-47F1-9FC9-A22931D5C89C}"/>
    <cellStyle name="Comma 13 2" xfId="282" xr:uid="{72527AFD-F931-4A19-AA74-46F1AEFD0BA9}"/>
    <cellStyle name="Comma 13 2 2" xfId="1165" xr:uid="{830D690A-0E2F-4427-8491-CBE0E606CE70}"/>
    <cellStyle name="Comma 13 2 2 2" xfId="5661" xr:uid="{3228A5DE-2978-4D06-9B1F-29E19AC5BCE1}"/>
    <cellStyle name="Comma 13 2 2 3" xfId="5519" xr:uid="{926CD4FD-A611-4F56-B11B-61CFADFE2B68}"/>
    <cellStyle name="Comma 13 2 3" xfId="1479" xr:uid="{9B4ADD6F-CA6C-4E43-825E-F81C27350236}"/>
    <cellStyle name="Comma 13 2 4" xfId="2600" xr:uid="{A9F57BCC-0C54-4E5B-A633-5C3993C745A4}"/>
    <cellStyle name="Comma 13 2 4 2" xfId="4664" xr:uid="{65882241-77C0-4B92-9B60-96DD4F3FF558}"/>
    <cellStyle name="Comma 13 2 5" xfId="3994" xr:uid="{9CA692F9-22BC-404B-97E9-04272359A299}"/>
    <cellStyle name="Comma 13 2 6" xfId="3259" xr:uid="{4FA30B4B-F5CB-4608-9698-6814EADE3D61}"/>
    <cellStyle name="Comma 13 2 7" xfId="1025" xr:uid="{09726A40-F58E-4392-BFC9-9F7D99B9F1F4}"/>
    <cellStyle name="Comma 13 3" xfId="1048" xr:uid="{50545CD0-10DE-4C13-8B17-3F97F6CB11D8}"/>
    <cellStyle name="Comma 13 3 2" xfId="2614" xr:uid="{6E33FF46-5AB9-4ABB-A818-A9C954C28EA8}"/>
    <cellStyle name="Comma 13 3 2 2" xfId="4690" xr:uid="{2F478C86-842A-4F4C-B66E-945D4FF8C350}"/>
    <cellStyle name="Comma 13 3 2 2 2" xfId="5942" xr:uid="{561B9E33-987A-4A75-B187-0F0CE0BF0F81}"/>
    <cellStyle name="Comma 13 3 3" xfId="4004" xr:uid="{3AE34DE4-65D8-41E3-8906-EE957769DE81}"/>
    <cellStyle name="Comma 13 3 3 2" xfId="5860" xr:uid="{C184A01B-8638-45B8-B56F-8CCF1A2D9EAB}"/>
    <cellStyle name="Comma 13 3 4" xfId="3279" xr:uid="{74B4AA5F-CCB1-4C17-9700-7F7C0A3DFF51}"/>
    <cellStyle name="Comma 13 4" xfId="1130" xr:uid="{67934D98-52A8-4455-9CF9-2E1763B18298}"/>
    <cellStyle name="Comma 13 4 2" xfId="5648" xr:uid="{685F4AFF-2DEE-4E19-8268-CC915A330688}"/>
    <cellStyle name="Comma 13 4 3" xfId="5516" xr:uid="{32021E79-8207-46EF-AF90-9619EC9C3203}"/>
    <cellStyle name="Comma 13 5" xfId="1417" xr:uid="{26AB5C10-43E6-4006-AFFF-9CF7D6A97DD1}"/>
    <cellStyle name="Comma 13 6" xfId="2566" xr:uid="{14609BD4-7FDA-4E45-BA95-BCFCC07C4263}"/>
    <cellStyle name="Comma 13 7" xfId="941" xr:uid="{73A5DF22-3A09-4395-B2B7-7223BC65423B}"/>
    <cellStyle name="Comma 14" xfId="71" xr:uid="{EBD6C860-9C1D-4B8C-A669-5BFC7FECE2C2}"/>
    <cellStyle name="Comma 14 2" xfId="284" xr:uid="{FAB9ABE9-32BC-4707-A981-B33ECDAECF27}"/>
    <cellStyle name="Comma 14 2 2" xfId="1480" xr:uid="{BABEDF2D-652E-4D3C-8526-182C907DFA1C}"/>
    <cellStyle name="Comma 14 2 2 2" xfId="5683" xr:uid="{06A7EDEE-57AC-4E77-8C23-9F77B57E9478}"/>
    <cellStyle name="Comma 14 2 2 3" xfId="5535" xr:uid="{F596180D-B2B0-473B-AC64-9D45EEF18696}"/>
    <cellStyle name="Comma 14 2 3" xfId="2615" xr:uid="{4A3D74DC-3DA3-4521-8D5C-0604AE64BC31}"/>
    <cellStyle name="Comma 14 2 3 2" xfId="5943" xr:uid="{529EB865-8D8A-4797-B3C7-EF9300CAAF5F}"/>
    <cellStyle name="Comma 14 2 4" xfId="5502" xr:uid="{38D1FAE1-A214-4C14-9E18-7875032DD692}"/>
    <cellStyle name="Comma 14 2 4 2" xfId="5861" xr:uid="{211A5F76-56F1-4905-981A-A54F4F65FA31}"/>
    <cellStyle name="Comma 14 2 5" xfId="1049" xr:uid="{320F1EE9-D9EF-45A9-B0A4-A6BA1F2A4071}"/>
    <cellStyle name="Comma 14 3" xfId="283" xr:uid="{B30784D8-C2C0-43AF-989B-8F773473496A}"/>
    <cellStyle name="Comma 14 3 2" xfId="4689" xr:uid="{A4B893B5-2F19-46DB-8C4D-6F4D26B25231}"/>
    <cellStyle name="Comma 14 3 2 2" xfId="5649" xr:uid="{6E081758-48A2-40D9-89E9-DEE34BE63B83}"/>
    <cellStyle name="Comma 14 3 3" xfId="4043" xr:uid="{B5273E6C-4EC8-4588-85FF-EC61D7A5782D}"/>
    <cellStyle name="Comma 14 3 4" xfId="3278" xr:uid="{72E63E02-1355-4D59-8A57-F132516D892E}"/>
    <cellStyle name="Comma 14 3 5" xfId="1131" xr:uid="{E1888EA7-5642-4E4B-96F7-23F9F58ECDA3}"/>
    <cellStyle name="Comma 14 4" xfId="1418" xr:uid="{63BD9C22-8A18-4F92-ABC2-2B288CB3C093}"/>
    <cellStyle name="Comma 14 4 2" xfId="5668" xr:uid="{8DFC0A6F-B7DB-48E1-82AE-37BCDD9F3A36}"/>
    <cellStyle name="Comma 14 4 3" xfId="5525" xr:uid="{436E99B5-F01D-4A3F-939C-C78778DD139E}"/>
    <cellStyle name="Comma 14 5" xfId="2567" xr:uid="{1AC773C6-41BA-45F3-BC27-4CC420DB7B6A}"/>
    <cellStyle name="Comma 14 6" xfId="779" xr:uid="{D1F75E33-4073-4857-985A-5B3563E54C43}"/>
    <cellStyle name="Comma 14 7" xfId="7076" xr:uid="{768B5853-6F76-46A4-A35E-708F30AB1019}"/>
    <cellStyle name="Comma 15" xfId="72" xr:uid="{B0B317BE-5F20-4D66-B0EC-57ACC850ED6D}"/>
    <cellStyle name="Comma 15 2" xfId="285" xr:uid="{1118F94A-31AC-4AC7-BCC0-3CCF5DAF242F}"/>
    <cellStyle name="Comma 15 2 2" xfId="1531" xr:uid="{C9034061-2B71-4A68-A32F-6A25B6404757}"/>
    <cellStyle name="Comma 15 2 2 2" xfId="5698" xr:uid="{1C10B91D-4EEC-45FC-BBBD-F60E260D96AF}"/>
    <cellStyle name="Comma 15 2 2 3" xfId="5545" xr:uid="{98882880-E6A9-4577-BEE5-9B73E00B18DE}"/>
    <cellStyle name="Comma 15 2 3" xfId="1483" xr:uid="{33F661D7-9216-4CB5-89DD-1F9D9A6F12F0}"/>
    <cellStyle name="Comma 15 2 3 2" xfId="5684" xr:uid="{80D76107-9E03-43FF-9334-8A6361424C9B}"/>
    <cellStyle name="Comma 15 2 3 3" xfId="5536" xr:uid="{780D1C15-2E74-419D-BAE8-AC44B851A5E4}"/>
    <cellStyle name="Comma 15 2 4" xfId="2616" xr:uid="{854672B4-765F-4B22-9335-3C3AC0164ED0}"/>
    <cellStyle name="Comma 15 2 4 2" xfId="5944" xr:uid="{29218C8F-D84F-4A35-864F-BF4FAB489140}"/>
    <cellStyle name="Comma 15 2 5" xfId="5503" xr:uid="{039D3C4D-9ED4-43CF-A40B-89DBB84B8875}"/>
    <cellStyle name="Comma 15 2 5 2" xfId="5862" xr:uid="{BE7AA966-C8BD-43A4-93FB-B56087AF57C5}"/>
    <cellStyle name="Comma 15 2 6" xfId="1050" xr:uid="{DE4BCF6E-D4EE-4E71-9F7E-4021E4A48CB9}"/>
    <cellStyle name="Comma 15 3" xfId="1132" xr:uid="{F70347C0-D81A-4378-9C65-7C38C2021990}"/>
    <cellStyle name="Comma 15 3 2" xfId="1472" xr:uid="{CEA95834-3ECD-4746-9795-747511D937C7}"/>
    <cellStyle name="Comma 15 3 2 2" xfId="5681" xr:uid="{4AABD586-FF95-4597-AACD-5BFEF3D80A1B}"/>
    <cellStyle name="Comma 15 3 2 3" xfId="5533" xr:uid="{8DB904AF-6454-4373-87BC-E5C192EB4DAF}"/>
    <cellStyle name="Comma 15 3 3" xfId="4688" xr:uid="{21C610AD-3CD7-4F90-9EEB-EDBC9B669A5F}"/>
    <cellStyle name="Comma 15 3 3 2" xfId="5650" xr:uid="{ACB2ABC0-A267-42E4-A160-36B053E8351F}"/>
    <cellStyle name="Comma 15 3 4" xfId="4044" xr:uid="{1E08A1A8-3D3D-4533-8B33-230A4573B0F3}"/>
    <cellStyle name="Comma 15 3 5" xfId="3277" xr:uid="{D53A295E-76A3-4C3C-A046-7A87FFBE569C}"/>
    <cellStyle name="Comma 15 4" xfId="1516" xr:uid="{AD0CB9BB-FA09-4417-A505-CF2C1436C9BA}"/>
    <cellStyle name="Comma 15 4 2" xfId="5692" xr:uid="{1810AB14-5FE9-451A-A4FD-A3C689EF1F30}"/>
    <cellStyle name="Comma 15 4 3" xfId="5540" xr:uid="{085D7769-B529-4A2E-9AB2-7F03F1D436AD}"/>
    <cellStyle name="Comma 15 5" xfId="1427" xr:uid="{A1D6D204-8685-4F6D-813D-F0357606BBEA}"/>
    <cellStyle name="Comma 15 5 2" xfId="5669" xr:uid="{F4AEAB50-8422-46D9-A2CB-B621FA7B4344}"/>
    <cellStyle name="Comma 15 5 3" xfId="5526" xr:uid="{F84821B6-946F-4C04-B23B-FFD792A82AA5}"/>
    <cellStyle name="Comma 15 6" xfId="2568" xr:uid="{362C1B02-7B3D-45A1-84C3-CCF5EF9CF2E7}"/>
    <cellStyle name="Comma 15 7" xfId="807" xr:uid="{2D17A66D-B62F-4083-88F4-16821CB59C9F}"/>
    <cellStyle name="Comma 16" xfId="73" xr:uid="{3562FB68-DC20-41EC-8735-D8FAA32D50CF}"/>
    <cellStyle name="Comma 16 2" xfId="287" xr:uid="{9810CEC4-9D4B-46D5-BD25-759784299C7E}"/>
    <cellStyle name="Comma 16 2 2" xfId="1532" xr:uid="{3F268601-C4FD-4135-9715-7E54ED57B1DE}"/>
    <cellStyle name="Comma 16 2 2 2" xfId="5699" xr:uid="{21A3EC7F-BA9E-4148-8847-7D77837865EA}"/>
    <cellStyle name="Comma 16 2 2 3" xfId="5546" xr:uid="{8F57DE6E-D02F-4480-9458-F6D0B9AE6D6C}"/>
    <cellStyle name="Comma 16 2 3" xfId="1484" xr:uid="{6BB8EE04-E4DE-430D-9289-0185B0BFA00C}"/>
    <cellStyle name="Comma 16 2 3 2" xfId="5685" xr:uid="{614D4811-C87D-499A-8149-4373B1D27946}"/>
    <cellStyle name="Comma 16 2 3 3" xfId="5537" xr:uid="{5E880017-9E17-40DB-8CBF-8561F02CB635}"/>
    <cellStyle name="Comma 16 2 4" xfId="2617" xr:uid="{A1E825F3-C2EA-47E6-B16C-4DDC847800D9}"/>
    <cellStyle name="Comma 16 2 4 2" xfId="5945" xr:uid="{C5EE8796-D6B4-4A33-8252-E12D6DF62024}"/>
    <cellStyle name="Comma 16 2 5" xfId="5504" xr:uid="{B60A6420-B43C-467B-9B44-18202070D0F0}"/>
    <cellStyle name="Comma 16 2 5 2" xfId="5863" xr:uid="{5F167B77-187C-4C8A-87F9-7F4C45930074}"/>
    <cellStyle name="Comma 16 2 6" xfId="1051" xr:uid="{FAA346FD-BD1C-413D-B375-CF27E996C25C}"/>
    <cellStyle name="Comma 16 3" xfId="286" xr:uid="{FA761A56-2381-4D56-BC48-381902022222}"/>
    <cellStyle name="Comma 16 3 2" xfId="1471" xr:uid="{932E57A6-C775-4722-B3CF-EEB33B2F85E5}"/>
    <cellStyle name="Comma 16 3 2 2" xfId="5680" xr:uid="{8EB77D3D-287E-4E74-B2A4-643F952E0643}"/>
    <cellStyle name="Comma 16 3 2 3" xfId="5532" xr:uid="{CC3F0457-E428-4776-B09D-80C9E0EB4A0E}"/>
    <cellStyle name="Comma 16 3 3" xfId="4687" xr:uid="{3CC1CE54-56FC-4BDE-BC6F-6ABA47942BE7}"/>
    <cellStyle name="Comma 16 3 3 2" xfId="5651" xr:uid="{69AAD35B-FA73-4A56-8DCA-166720799980}"/>
    <cellStyle name="Comma 16 3 4" xfId="4045" xr:uid="{A24B9BBE-FA43-43BC-B76D-1177746378C5}"/>
    <cellStyle name="Comma 16 3 5" xfId="3276" xr:uid="{D9E6D85D-7568-4030-B995-A7023F1FD35B}"/>
    <cellStyle name="Comma 16 3 6" xfId="1133" xr:uid="{A5FE7E91-2165-456B-B1FE-313ABBD98726}"/>
    <cellStyle name="Comma 16 4" xfId="1517" xr:uid="{5C4B6843-AF71-4214-870D-4ACDB50FCF95}"/>
    <cellStyle name="Comma 16 4 2" xfId="5693" xr:uid="{6D53792E-4BAA-4F38-920B-CA198DCC9E2E}"/>
    <cellStyle name="Comma 16 4 3" xfId="5541" xr:uid="{EA88339B-3F87-4DFE-8F5A-C80F8BFFC5E4}"/>
    <cellStyle name="Comma 16 5" xfId="1429" xr:uid="{D1996740-8CA3-4162-8C33-988A5836CD2D}"/>
    <cellStyle name="Comma 16 5 2" xfId="5670" xr:uid="{91F7B53D-99EC-4872-93F6-E170751D5765}"/>
    <cellStyle name="Comma 16 5 3" xfId="5527" xr:uid="{92B173C2-DD74-4309-BF61-30BE6A89F2CF}"/>
    <cellStyle name="Comma 16 6" xfId="2569" xr:uid="{27B599DC-A50E-4D36-AB69-A0D059985091}"/>
    <cellStyle name="Comma 16 7" xfId="905" xr:uid="{27D6502E-E40C-4991-8228-1C5A547DFE02}"/>
    <cellStyle name="Comma 16 8" xfId="7148" xr:uid="{4794C2C0-E9B3-4525-9309-DDBE2D1DD038}"/>
    <cellStyle name="Comma 17" xfId="288" xr:uid="{59AA3DB5-3199-4A57-AEC4-8A93A053343E}"/>
    <cellStyle name="Comma 17 2" xfId="1052" xr:uid="{286745DD-998E-462B-BB2A-A8678D000699}"/>
    <cellStyle name="Comma 17 2 2" xfId="1534" xr:uid="{B4847E66-B229-40C4-88A7-8D5352ECD9B5}"/>
    <cellStyle name="Comma 17 2 2 2" xfId="5700" xr:uid="{B13B0CF9-F4CA-4864-B016-3ABE21A73C22}"/>
    <cellStyle name="Comma 17 2 2 3" xfId="5547" xr:uid="{B80573CF-0F7D-4DE0-A48F-D65D7D454C77}"/>
    <cellStyle name="Comma 17 2 3" xfId="1487" xr:uid="{3E06472C-D1C1-4148-8569-791BD7775EF3}"/>
    <cellStyle name="Comma 17 2 3 2" xfId="5686" xr:uid="{C02E1A93-9962-4DF9-97F5-1B61DDD19F31}"/>
    <cellStyle name="Comma 17 2 3 3" xfId="5538" xr:uid="{40D9FB39-4661-4EF3-9D3B-F06AA49310C9}"/>
    <cellStyle name="Comma 17 2 4" xfId="2618" xr:uid="{53C0EC38-A071-4505-BC9D-45E9148AB0AA}"/>
    <cellStyle name="Comma 17 2 4 2" xfId="5946" xr:uid="{6EC38B2A-895C-40AB-B203-2039265C2C93}"/>
    <cellStyle name="Comma 17 2 5" xfId="5505" xr:uid="{3C6B62B2-E527-4110-B57C-D272F170DC8E}"/>
    <cellStyle name="Comma 17 2 5 2" xfId="5864" xr:uid="{28364509-25C7-44BA-83B0-708207BC69B1}"/>
    <cellStyle name="Comma 17 3" xfId="1134" xr:uid="{652607C3-0C84-444B-8B87-AEA9A43621E7}"/>
    <cellStyle name="Comma 17 3 2" xfId="1470" xr:uid="{1BD5C93B-CBB1-4F24-87F0-AF73E3EBF4BB}"/>
    <cellStyle name="Comma 17 3 2 2" xfId="5679" xr:uid="{88DF6691-37AC-4732-AAAE-37AD16C6AE76}"/>
    <cellStyle name="Comma 17 3 2 3" xfId="5531" xr:uid="{FCF34DE3-6E5C-4E21-BE39-8086A0B55508}"/>
    <cellStyle name="Comma 17 3 3" xfId="4686" xr:uid="{D746F2CD-D244-43CE-AE99-B1F547AE04F4}"/>
    <cellStyle name="Comma 17 3 3 2" xfId="5652" xr:uid="{5BA80455-0D5C-48DA-B0DE-153CA12922AD}"/>
    <cellStyle name="Comma 17 3 4" xfId="4046" xr:uid="{290F5611-F773-4506-93FC-8D207437220C}"/>
    <cellStyle name="Comma 17 3 5" xfId="3275" xr:uid="{2A1373BA-2AEF-4D37-92D0-78B68B1E90B7}"/>
    <cellStyle name="Comma 17 4" xfId="1519" xr:uid="{357E1E5F-4644-4FCD-859E-EDE97CCF594A}"/>
    <cellStyle name="Comma 17 4 2" xfId="5694" xr:uid="{89C50AC0-E1E7-43B3-A92A-98163FE3D406}"/>
    <cellStyle name="Comma 17 4 3" xfId="5542" xr:uid="{53FAB20D-485E-42B8-8B10-03BCD304380C}"/>
    <cellStyle name="Comma 17 5" xfId="1434" xr:uid="{EBBF8AD8-8721-462C-A5C5-9EE3FADCFEFA}"/>
    <cellStyle name="Comma 17 5 2" xfId="5671" xr:uid="{CB19D21C-B909-4CF5-A326-C7D4CF6D56F5}"/>
    <cellStyle name="Comma 17 5 3" xfId="5528" xr:uid="{0A1CF747-EB1F-4EE1-BB4A-7C8DAB0BF766}"/>
    <cellStyle name="Comma 17 6" xfId="2570" xr:uid="{E3B53274-FC42-42A5-8946-BFE22830C81C}"/>
    <cellStyle name="Comma 17 6 2" xfId="5633" xr:uid="{0809C5FA-9023-450A-8391-9A696FEC4C90}"/>
    <cellStyle name="Comma 17 6 3" xfId="5425" xr:uid="{D577D6F9-DE79-470D-B59D-98FFB34DADF7}"/>
    <cellStyle name="Comma 17 7" xfId="5617" xr:uid="{31280AE4-FD5D-4D71-9AC1-A9A0B9DF5F42}"/>
    <cellStyle name="Comma 17 8" xfId="659" xr:uid="{DAE07E69-3A68-4308-87B8-0E9B0310FDCD}"/>
    <cellStyle name="Comma 17 9" xfId="867" xr:uid="{D04261F2-E54D-40D5-B6DB-A5B2296972C4}"/>
    <cellStyle name="Comma 18" xfId="289" xr:uid="{C1B11117-6BC1-4326-A177-20CCA49D52D6}"/>
    <cellStyle name="Comma 18 2" xfId="1053" xr:uid="{98A20AFC-D6A2-4F79-8464-48C285063714}"/>
    <cellStyle name="Comma 18 2 2" xfId="1488" xr:uid="{33442234-F1D1-4894-8280-5C5C7253DECA}"/>
    <cellStyle name="Comma 18 2 3" xfId="2619" xr:uid="{AFA4B0A5-F062-47C3-A371-19ED1B4CCC0C}"/>
    <cellStyle name="Comma 18 2 3 2" xfId="5947" xr:uid="{809B819A-AC89-49AA-87B7-59BD1018E232}"/>
    <cellStyle name="Comma 18 2 4" xfId="5506" xr:uid="{E8B68485-8F5B-4CEF-B21B-04F979D0C71F}"/>
    <cellStyle name="Comma 18 2 4 2" xfId="5865" xr:uid="{00D478D2-81C2-459D-9A0A-185A676370D9}"/>
    <cellStyle name="Comma 18 3" xfId="1135" xr:uid="{AC1B3BFD-85B0-40AB-BB5E-932A7ECBFB6F}"/>
    <cellStyle name="Comma 18 3 2" xfId="4685" xr:uid="{6DF2FCB1-BFBB-4215-946F-A76CEF63EDF4}"/>
    <cellStyle name="Comma 18 3 2 2" xfId="5653" xr:uid="{9633C660-D811-420E-9B41-8495E4A07ECB}"/>
    <cellStyle name="Comma 18 3 3" xfId="4047" xr:uid="{DE4B934F-EDDE-4092-84F8-E8247BCF5E3D}"/>
    <cellStyle name="Comma 18 3 4" xfId="3274" xr:uid="{BEAB43C0-345B-4FBA-905E-CE4B18B46A8F}"/>
    <cellStyle name="Comma 18 4" xfId="1447" xr:uid="{BB238034-D8C9-4858-A514-BAAE0E6EF080}"/>
    <cellStyle name="Comma 18 5" xfId="2571" xr:uid="{4911357E-EDF8-46AD-A1EB-7F63CB53FF5B}"/>
    <cellStyle name="Comma 18 6" xfId="676" xr:uid="{93CF537D-613F-4076-9F87-B30E018A0650}"/>
    <cellStyle name="Comma 18 7" xfId="7290" xr:uid="{4137654D-DBC7-47DA-9515-21B3BEFCC4B9}"/>
    <cellStyle name="Comma 19" xfId="290" xr:uid="{C631CAF7-9A15-40BF-9C19-FF3E7C12AAC5}"/>
    <cellStyle name="Comma 19 2" xfId="1054" xr:uid="{51E749DC-F714-4998-BDEC-AA2A62325D30}"/>
    <cellStyle name="Comma 19 2 2" xfId="1489" xr:uid="{352A788F-6172-47E8-8FE5-51E03300317F}"/>
    <cellStyle name="Comma 19 2 2 2" xfId="2144" xr:uid="{D245B2B3-C96E-472A-9CC0-C8AD0EE74119}"/>
    <cellStyle name="Comma 19 2 2 2 2" xfId="2169" xr:uid="{F59F15D1-DFD2-4CBF-BD7A-D913625A8319}"/>
    <cellStyle name="Comma 19 2 2 2 2 2" xfId="2296" xr:uid="{10D50653-57D9-4C59-89A0-C35FBD131570}"/>
    <cellStyle name="Comma 19 2 2 2 2 2 2" xfId="2525" xr:uid="{601FF9B1-7830-46CF-96BC-951D9AB8B3C1}"/>
    <cellStyle name="Comma 19 2 2 2 2 3" xfId="2430" xr:uid="{CFD35733-18A7-4772-87A4-743304A5BBBB}"/>
    <cellStyle name="Comma 19 2 2 2 3" xfId="2276" xr:uid="{5A1584C1-0F73-416A-8DA8-B51AF575991C}"/>
    <cellStyle name="Comma 19 2 2 2 3 2" xfId="2505" xr:uid="{18B137B7-0565-4F8E-A9F3-30D4B2A91FED}"/>
    <cellStyle name="Comma 19 2 2 2 4" xfId="2410" xr:uid="{8E4AF954-9F79-47BB-8957-5548707C1F28}"/>
    <cellStyle name="Comma 19 2 2 2 5" xfId="4721" xr:uid="{681C4C9E-6FA9-4364-9B89-768C2A2CF34C}"/>
    <cellStyle name="Comma 19 2 2 2 6" xfId="5687" xr:uid="{6A5A36DE-D28F-47C1-95B8-A64E295BE4CA}"/>
    <cellStyle name="Comma 19 2 2 3" xfId="2162" xr:uid="{D33A360A-FA6E-45CB-AB80-285821B26476}"/>
    <cellStyle name="Comma 19 2 2 3 2" xfId="2289" xr:uid="{D44536E6-A34D-41C0-9464-B997CF9FFC82}"/>
    <cellStyle name="Comma 19 2 2 3 2 2" xfId="2518" xr:uid="{E59D545D-6CBB-42D2-8D1E-634D25CF1DDA}"/>
    <cellStyle name="Comma 19 2 2 3 3" xfId="2423" xr:uid="{26FABCA2-B05A-4DBD-A6BA-A5B845AFDDB8}"/>
    <cellStyle name="Comma 19 2 2 3 4" xfId="4175" xr:uid="{9F5C8818-15B5-4642-9CA4-BA104F8D99D6}"/>
    <cellStyle name="Comma 19 2 2 4" xfId="2269" xr:uid="{206D5943-DAB7-4EB5-824C-BCA8C91A02E3}"/>
    <cellStyle name="Comma 19 2 2 4 2" xfId="2498" xr:uid="{D00F9EFC-0EA0-415F-9947-7D304F3338CE}"/>
    <cellStyle name="Comma 19 2 2 5" xfId="2402" xr:uid="{22D451EA-EE31-41EA-886F-176FF9A7CA75}"/>
    <cellStyle name="Comma 19 2 2 6" xfId="2727" xr:uid="{19E8ABFD-DCF1-491C-B538-CDF14B09EDE7}"/>
    <cellStyle name="Comma 19 2 2 7" xfId="2134" xr:uid="{AEC26C76-ACBF-4E48-BD96-476BEFB38ED4}"/>
    <cellStyle name="Comma 19 2 2 8" xfId="3416" xr:uid="{B34319E9-9B25-4905-8BCA-66746807DF30}"/>
    <cellStyle name="Comma 19 2 3" xfId="2620" xr:uid="{564BE97E-7007-459D-9AD5-8FCAD5ABF961}"/>
    <cellStyle name="Comma 19 2 4" xfId="4430" xr:uid="{36817696-7135-41C0-AB6F-06F80B56E72D}"/>
    <cellStyle name="Comma 19 3" xfId="1136" xr:uid="{E72CB61A-AFE8-476C-B0C2-C1E99DE24DF8}"/>
    <cellStyle name="Comma 19 3 2" xfId="4665" xr:uid="{427E311F-A307-4586-9901-4B3367C065C2}"/>
    <cellStyle name="Comma 19 3 3" xfId="4048" xr:uid="{1077AAD9-38B4-4DC2-8F69-49935D6B6E50}"/>
    <cellStyle name="Comma 19 4" xfId="1448" xr:uid="{124D4E29-A24F-49FC-9C72-2FC48B2D476B}"/>
    <cellStyle name="Comma 19 4 2" xfId="4748" xr:uid="{A1376D05-B352-41A8-B50F-01417CAA85BF}"/>
    <cellStyle name="Comma 19 4 2 2" xfId="5672" xr:uid="{6E667E97-6E82-4571-B096-7C9867D89AC5}"/>
    <cellStyle name="Comma 19 4 3" xfId="4163" xr:uid="{00238809-684E-47A1-AF40-FC4A9B0FCBAA}"/>
    <cellStyle name="Comma 19 4 4" xfId="3463" xr:uid="{9AA0C89F-E394-461A-AF4B-0308BC2BBA93}"/>
    <cellStyle name="Comma 19 5" xfId="2572" xr:uid="{E7F72588-84E4-4E6D-9DE1-5BD3BCB1B1B3}"/>
    <cellStyle name="Comma 19 6" xfId="4427" xr:uid="{090B2041-2D71-4458-A9E0-88952D3D7C3D}"/>
    <cellStyle name="Comma 19 7" xfId="640" xr:uid="{1E609D9B-9E6D-45B1-9D5E-73D81BA8A199}"/>
    <cellStyle name="Comma 2" xfId="3" xr:uid="{74FC0FAF-2F0A-4BA3-BDF3-220BBC1AD2D9}"/>
    <cellStyle name="Comma 2 10" xfId="1178" xr:uid="{19EC55A7-85E8-4977-9F63-1FA1F07DBBDF}"/>
    <cellStyle name="Comma 2 10 2" xfId="5665" xr:uid="{2AE80645-0410-4C19-875B-BD557AB1FC4D}"/>
    <cellStyle name="Comma 2 10 3" xfId="5523" xr:uid="{555ECF6C-C25E-4F70-BBCE-00D7D0CB8893}"/>
    <cellStyle name="Comma 2 11" xfId="749" xr:uid="{214AEE1B-495D-4962-AEA0-D0A25E09B46D}"/>
    <cellStyle name="Comma 2 11 2" xfId="5607" xr:uid="{7307591E-6FF5-45CE-BA4C-0E5D23011A64}"/>
    <cellStyle name="Comma 2 12" xfId="6013" xr:uid="{60E68E65-C1BA-4AD9-8328-92A21F2C9E23}"/>
    <cellStyle name="Comma 2 12 2" xfId="6997" xr:uid="{65CA80B1-2335-4532-B028-0EC04BD6AC40}"/>
    <cellStyle name="Comma 2 13" xfId="6048" xr:uid="{40711076-7A0E-4F0F-A2D3-68107FCE763D}"/>
    <cellStyle name="Comma 2 14" xfId="7189" xr:uid="{2A3D0D38-47AE-40A6-AD91-967787B6F978}"/>
    <cellStyle name="Comma 2 15" xfId="7217" xr:uid="{FE718A51-0C19-42D5-9267-DA352B5ADF0D}"/>
    <cellStyle name="Comma 2 16" xfId="7349" xr:uid="{91244449-737F-4227-B200-FE448D2CCA24}"/>
    <cellStyle name="Comma 2 2" xfId="4" xr:uid="{9C24C16B-2FFF-49F7-8D26-B196CB5B855A}"/>
    <cellStyle name="Comma 2 2 2" xfId="18" xr:uid="{4413ED61-D5B3-4E61-B9C6-5F334BD6E73B}"/>
    <cellStyle name="Comma 2 2 2 2" xfId="2647" xr:uid="{6AC95DCD-831E-4A10-92D9-8E6C7F87D9B3}"/>
    <cellStyle name="Comma 2 2 2 2 2" xfId="3415" xr:uid="{56EB151F-819F-4F6A-AA18-246C699C8DF5}"/>
    <cellStyle name="Comma 2 2 2 2 3" xfId="7007" xr:uid="{3DD0E8A5-DC36-4235-BEA6-0E5F60612EDD}"/>
    <cellStyle name="Comma 2 2 2 3" xfId="2321" xr:uid="{B4A85580-9F6C-4270-8E89-451CBC08588D}"/>
    <cellStyle name="Comma 2 2 2 3 2" xfId="4667" xr:uid="{829385D2-3695-4E4E-88D6-775EE8F5D538}"/>
    <cellStyle name="Comma 2 2 2 4" xfId="4049" xr:uid="{4F2EB0E7-8D1F-4B59-9CDA-AA01D8E09F6A}"/>
    <cellStyle name="Comma 2 2 2 5" xfId="5266" xr:uid="{F17891A7-1C20-4488-BA5E-E8837EA81A3F}"/>
    <cellStyle name="Comma 2 2 2 6" xfId="1137" xr:uid="{31B8C604-D824-4D59-A227-763C974EE0DC}"/>
    <cellStyle name="Comma 2 2 2 7" xfId="7285" xr:uid="{74FB6527-060F-4CCD-8EB5-94EF2012444D}"/>
    <cellStyle name="Comma 2 2 2 8" xfId="7136" xr:uid="{C9249244-01EB-4E04-8665-571711BE30BC}"/>
    <cellStyle name="Comma 2 2 3" xfId="75" xr:uid="{D2724DF9-EFCA-4F1B-BBF3-3E1A34DD1373}"/>
    <cellStyle name="Comma 2 2 3 2" xfId="1167" xr:uid="{3B0AC3F3-D341-4F14-A8F7-EAE0EF6F32FD}"/>
    <cellStyle name="Comma 2 2 3 2 2" xfId="5662" xr:uid="{40431CD7-2E67-493A-B294-B992C901AD84}"/>
    <cellStyle name="Comma 2 2 3 2 3" xfId="5520" xr:uid="{87E57406-2C58-445C-96B1-58D66DA3F9B4}"/>
    <cellStyle name="Comma 2 2 3 3" xfId="2602" xr:uid="{156AF6C8-B0BA-4CF1-B490-47CAF923A83B}"/>
    <cellStyle name="Comma 2 2 3 4" xfId="1028" xr:uid="{0B726648-84B9-46F8-B6B0-3412951DD725}"/>
    <cellStyle name="Comma 2 2 4" xfId="194" xr:uid="{EEA8AED7-7C03-4BF6-92EA-89627C839D7F}"/>
    <cellStyle name="Comma 2 2 4 2" xfId="1281" xr:uid="{5B8FC1F9-AC3B-4163-80BC-DBAE2BF35699}"/>
    <cellStyle name="Comma 2 2 5" xfId="292" xr:uid="{F930E199-E52F-4889-ACD0-F46D21A47721}"/>
    <cellStyle name="Comma 2 2 5 2" xfId="5634" xr:uid="{D5568AA7-F296-49D8-8429-2E28FF0663F1}"/>
    <cellStyle name="Comma 2 2 5 3" xfId="5426" xr:uid="{91FE21C5-C999-4F66-8E21-167E8D475D05}"/>
    <cellStyle name="Comma 2 2 5 4" xfId="2573" xr:uid="{30936B96-162B-4CE7-8328-30FFC138A17E}"/>
    <cellStyle name="Comma 2 2 5 5" xfId="7032" xr:uid="{187B60D3-6428-4310-B2F4-4483FEAF466E}"/>
    <cellStyle name="Comma 2 2 6" xfId="4995" xr:uid="{B4906B2D-77D8-4CFE-B1BD-027C3EF7C047}"/>
    <cellStyle name="Comma 2 2 6 2" xfId="5932" xr:uid="{AAA0A1A0-059F-4037-B4B8-BBF786C12379}"/>
    <cellStyle name="Comma 2 2 6 3" xfId="5625" xr:uid="{301E4B9E-F68B-4F89-AC31-BE8FA0D56F19}"/>
    <cellStyle name="Comma 2 2 7" xfId="785" xr:uid="{017C24E9-651A-4A5F-9DE1-B2E8FB8C1A36}"/>
    <cellStyle name="Comma 2 2 7 2" xfId="6014" xr:uid="{F924325E-DDF4-4A50-9BF1-3D3B2B26F485}"/>
    <cellStyle name="Comma 2 3" xfId="25" xr:uid="{E82DD392-5E20-48C3-8B05-E3CB5F39D999}"/>
    <cellStyle name="Comma 2 3 2" xfId="76" xr:uid="{CEF984CE-0959-4172-BA79-8F28A53FB7B3}"/>
    <cellStyle name="Comma 2 3 2 2" xfId="2648" xr:uid="{F2AB356E-532A-4A0E-BFCC-B6F8FBB94353}"/>
    <cellStyle name="Comma 2 3 2 2 2" xfId="4843" xr:uid="{06E9E85E-792D-4534-9D3F-7317B229AC21}"/>
    <cellStyle name="Comma 2 3 2 2 2 2" xfId="5394" xr:uid="{14C28B93-538B-4C4D-9C5D-AA9E28180B13}"/>
    <cellStyle name="Comma 2 3 2 2 3" xfId="5336" xr:uid="{C6D01AD7-3B82-4427-ACEF-72213C108E80}"/>
    <cellStyle name="Comma 2 3 2 2 4" xfId="7304" xr:uid="{34DC16CA-E799-4455-9FB3-91E2853929CD}"/>
    <cellStyle name="Comma 2 3 2 3" xfId="2126" xr:uid="{5CABD5A4-2901-44FD-9C93-F4E095AE6EC5}"/>
    <cellStyle name="Comma 2 3 2 3 2" xfId="3929" xr:uid="{B07DF663-8412-45B3-AE01-9FC88551395E}"/>
    <cellStyle name="Comma 2 3 2 3 3" xfId="5364" xr:uid="{3B8B3B56-2878-44EF-A97E-54BA61118882}"/>
    <cellStyle name="Comma 2 3 2 4" xfId="4527" xr:uid="{34CCD498-7B22-4650-A570-89DBADE0AAFB}"/>
    <cellStyle name="Comma 2 3 2 5" xfId="5272" xr:uid="{47AFF066-8FA6-4122-B252-6B2F704EED75}"/>
    <cellStyle name="Comma 2 3 2 6" xfId="1138" xr:uid="{2A463D8C-1B4C-4ADF-B916-36AC0161507B}"/>
    <cellStyle name="Comma 2 3 2 7" xfId="7129" xr:uid="{EF3F1EFF-6A4E-4048-9D67-AA8F22BB4388}"/>
    <cellStyle name="Comma 2 3 3" xfId="293" xr:uid="{56205921-35FE-40D5-ACFF-86E3FB183103}"/>
    <cellStyle name="Comma 2 3 3 2" xfId="2865" xr:uid="{F1C569DD-44CF-455E-BC51-95DB596BB5A5}"/>
    <cellStyle name="Comma 2 3 3 2 2" xfId="4722" xr:uid="{5B117903-96F9-4830-82A6-7419D4E2CB6B}"/>
    <cellStyle name="Comma 2 3 3 2 3" xfId="5384" xr:uid="{D4C4F5C5-6DC0-4315-8F86-14F0EF5864E7}"/>
    <cellStyle name="Comma 2 3 3 3" xfId="2324" xr:uid="{3A1E0CDD-1384-4EF3-A1F3-E9AD65CC3DD5}"/>
    <cellStyle name="Comma 2 3 3 3 2" xfId="4304" xr:uid="{87F02241-F858-4374-BC96-13C33F81B507}"/>
    <cellStyle name="Comma 2 3 3 4" xfId="5326" xr:uid="{0E3AB373-0A90-4673-8E4C-806611C37E65}"/>
    <cellStyle name="Comma 2 3 3 5" xfId="1768" xr:uid="{270F4713-E2CA-420F-9C93-324F28BE9BD1}"/>
    <cellStyle name="Comma 2 3 3 6" xfId="7153" xr:uid="{39DA9D45-7B4C-4CF1-9E8B-2D7C38FB4625}"/>
    <cellStyle name="Comma 2 3 4" xfId="1724" xr:uid="{865A4E76-B135-4FB2-99F9-3889661475FE}"/>
    <cellStyle name="Comma 2 3 4 2" xfId="4684" xr:uid="{C1CEB04E-73DD-4531-B7BA-3A918874641C}"/>
    <cellStyle name="Comma 2 3 4 2 2" xfId="5715" xr:uid="{23AB5775-323A-4920-8CC2-C856F8734CE8}"/>
    <cellStyle name="Comma 2 3 4 3" xfId="4290" xr:uid="{E61C2E1A-320F-4D4A-BD5E-196EB7B76195}"/>
    <cellStyle name="Comma 2 3 4 4" xfId="3273" xr:uid="{B5EEFFFB-5F57-430F-8D04-D7C97CAC90E6}"/>
    <cellStyle name="Comma 2 3 4 5" xfId="5354" xr:uid="{DF444F50-5450-459B-B647-C97D1AD2AF23}"/>
    <cellStyle name="Comma 2 3 5" xfId="2574" xr:uid="{A698CD13-899F-4DBE-AA05-0CBBD1502CA2}"/>
    <cellStyle name="Comma 2 3 6" xfId="2152" xr:uid="{4EDF8435-15A1-47B9-9B63-08EB4A7D04EB}"/>
    <cellStyle name="Comma 2 3 6 2" xfId="4431" xr:uid="{5B3F22C6-8EB6-49E0-8266-D267AE393D98}"/>
    <cellStyle name="Comma 2 3 7" xfId="5255" xr:uid="{37AB9869-1A3B-41F3-84BA-F669B4DD4FC3}"/>
    <cellStyle name="Comma 2 3 7 2" xfId="6018" xr:uid="{253497BB-BD7C-4CFA-8A31-B995F2220C05}"/>
    <cellStyle name="Comma 2 3 8" xfId="641" xr:uid="{7A3328CC-67CF-442F-9089-4BE191EB8705}"/>
    <cellStyle name="Comma 2 4" xfId="29" xr:uid="{9D1C6084-EC99-4CBC-962E-CA5268E0D3D7}"/>
    <cellStyle name="Comma 2 4 10" xfId="7093" xr:uid="{BD601100-331B-4443-B488-73164AC22052}"/>
    <cellStyle name="Comma 2 4 2" xfId="77" xr:uid="{2B473446-CC2C-4713-914E-D93BE0783233}"/>
    <cellStyle name="Comma 2 4 2 2" xfId="1772" xr:uid="{611F0481-A902-4C21-8EDA-41E23B28FB51}"/>
    <cellStyle name="Comma 2 4 2 2 2" xfId="2868" xr:uid="{BC76EFF4-CCC4-4553-9CC6-F4C883796C5C}"/>
    <cellStyle name="Comma 2 4 2 2 2 2" xfId="5990" xr:uid="{91BC6AEA-9DC8-45F8-A3D5-C18E360C36FD}"/>
    <cellStyle name="Comma 2 4 2 2 3" xfId="5408" xr:uid="{46B01768-3688-4B1B-9D7E-492DC08EA0D2}"/>
    <cellStyle name="Comma 2 4 2 2 3 2" xfId="5909" xr:uid="{6C651B9C-F277-42F7-8419-AC3F17436484}"/>
    <cellStyle name="Comma 2 4 2 2 3 3" xfId="5585" xr:uid="{E913AB3F-1ECD-484D-ACEB-7F4AC9305224}"/>
    <cellStyle name="Comma 2 4 2 3" xfId="2662" xr:uid="{CE32FCB1-45AB-4FAD-8F54-BFCA35D96A65}"/>
    <cellStyle name="Comma 2 4 2 3 2" xfId="4790" xr:uid="{293EEB37-2579-4E7F-A2C3-5DB5C7320ECD}"/>
    <cellStyle name="Comma 2 4 2 4" xfId="2344" xr:uid="{3A5EE27D-E03B-4ED4-9A69-C0368F0BFA03}"/>
    <cellStyle name="Comma 2 4 2 4 2" xfId="4070" xr:uid="{F6F55F59-044A-4069-904C-DD3AFC3A0DF4}"/>
    <cellStyle name="Comma 2 4 2 5" xfId="3562" xr:uid="{469995E1-F2EF-44D7-8309-404F1D39BDAA}"/>
    <cellStyle name="Comma 2 4 2 6" xfId="5350" xr:uid="{D2E829E2-3482-4601-A53B-8971E1E201B8}"/>
    <cellStyle name="Comma 2 4 2 7" xfId="1164" xr:uid="{6280D466-9E36-4640-B6CB-1EF0A94A953F}"/>
    <cellStyle name="Comma 2 4 3" xfId="294" xr:uid="{51407786-45E9-4ED7-A902-DA8B89DB4F97}"/>
    <cellStyle name="Comma 2 4 3 2" xfId="4683" xr:uid="{6376913F-576C-4DFE-8587-CCA1385A7594}"/>
    <cellStyle name="Comma 2 4 3 3" xfId="4156" xr:uid="{C55954B7-CC19-4473-B947-B8B6E6919299}"/>
    <cellStyle name="Comma 2 4 3 4" xfId="3272" xr:uid="{FDBE0AAF-8C2B-42B1-8096-4A815681376B}"/>
    <cellStyle name="Comma 2 4 3 5" xfId="5378" xr:uid="{792E75D0-3D01-46C8-A338-44D756E7CE20}"/>
    <cellStyle name="Comma 2 4 3 6" xfId="1436" xr:uid="{ECEE86F6-2932-4632-843A-686E56CCDC06}"/>
    <cellStyle name="Comma 2 4 4" xfId="2599" xr:uid="{B2E009F0-3855-4C6D-9C8B-8CFB4E5F2D5E}"/>
    <cellStyle name="Comma 2 4 4 2" xfId="3879" xr:uid="{6012189C-CB62-4812-BD91-DC6FF5F66F8D}"/>
    <cellStyle name="Comma 2 4 5" xfId="2187" xr:uid="{1019083D-6D54-43BF-BF8C-F5284CD93914}"/>
    <cellStyle name="Comma 2 4 5 2" xfId="4487" xr:uid="{8655C2BB-1E24-4ED7-95B7-022A052BBE33}"/>
    <cellStyle name="Comma 2 4 6" xfId="3064" xr:uid="{BD62B33A-FB79-4C4D-B8C3-43033DD1CC2E}"/>
    <cellStyle name="Comma 2 4 7" xfId="5317" xr:uid="{2077C2E9-9D04-4FD9-8BBC-47C5E14AA933}"/>
    <cellStyle name="Comma 2 4 8" xfId="1020" xr:uid="{13598846-6C2C-4B0D-BC69-CB91EAB8DD7A}"/>
    <cellStyle name="Comma 2 4 9" xfId="7112" xr:uid="{C8816C98-0D47-48E4-95D8-75A184B7858B}"/>
    <cellStyle name="Comma 2 5" xfId="78" xr:uid="{C1792622-2154-413E-A1AC-AE9A3E3A3C1D}"/>
    <cellStyle name="Comma 2 5 10" xfId="7256" xr:uid="{2F502306-A4C2-4A2C-AB33-2E9C7B795B67}"/>
    <cellStyle name="Comma 2 5 11" xfId="7300" xr:uid="{A71FE4FF-4CA4-4B4E-AA57-BAF7792C34A7}"/>
    <cellStyle name="Comma 2 5 2" xfId="295" xr:uid="{B80880BA-7451-40F5-95B5-0D5E0E05814D}"/>
    <cellStyle name="Comma 2 5 2 2" xfId="4794" xr:uid="{C47E21E5-A198-4739-99A4-6B7748675F6A}"/>
    <cellStyle name="Comma 2 5 2 3" xfId="3569" xr:uid="{BCCA36F6-B4C8-4976-8625-C4F42339BDAB}"/>
    <cellStyle name="Comma 2 5 2 4" xfId="2718" xr:uid="{AFBDEED3-4223-4AE3-B8C5-A37C014D9789}"/>
    <cellStyle name="Comma 2 5 3" xfId="2190" xr:uid="{D75C1283-3667-4E97-9347-9FC021108C7C}"/>
    <cellStyle name="Comma 2 5 3 2" xfId="3271" xr:uid="{C16BAD6A-B298-4E18-AFB7-C43E5A710671}"/>
    <cellStyle name="Comma 2 5 4" xfId="3882" xr:uid="{98EB77DE-BE48-45A0-A3B6-75B026B4B896}"/>
    <cellStyle name="Comma 2 5 5" xfId="4492" xr:uid="{787F4ABA-5EC0-4119-BDC9-B7954334FA56}"/>
    <cellStyle name="Comma 2 5 6" xfId="4157" xr:uid="{242CAF31-6629-4FA6-991C-5192CE905E54}"/>
    <cellStyle name="Comma 2 5 7" xfId="3069" xr:uid="{75773855-2F11-4555-A3BF-A465BF0B8009}"/>
    <cellStyle name="Comma 2 5 8" xfId="5319" xr:uid="{4C6A4035-3456-4194-8519-F2BA6CA5B6BB}"/>
    <cellStyle name="Comma 2 5 9" xfId="1437" xr:uid="{61C3416E-82A1-49D5-91E6-AD279CB16A87}"/>
    <cellStyle name="Comma 2 6" xfId="74" xr:uid="{05E75E73-186D-4FE9-9BCB-C3493BBB840A}"/>
    <cellStyle name="Comma 2 6 2" xfId="296" xr:uid="{C33D0D3D-4944-416E-814C-6BC0D12AC582}"/>
    <cellStyle name="Comma 2 6 2 2" xfId="4842" xr:uid="{6322E012-29BB-49F3-B02A-496D8B0EA4C7}"/>
    <cellStyle name="Comma 2 6 2 3" xfId="3622" xr:uid="{2148CDA2-36E4-4177-B724-C141FC6E63E2}"/>
    <cellStyle name="Comma 2 6 3" xfId="2203" xr:uid="{C7FCC719-8AF3-4E78-A448-F38638B40AA8}"/>
    <cellStyle name="Comma 2 6 3 2" xfId="4682" xr:uid="{82D180CA-B16E-4C9F-B0CD-F9ED51E325BB}"/>
    <cellStyle name="Comma 2 6 3 3" xfId="3270" xr:uid="{657CA690-98F6-4A3F-910B-EC6B71970947}"/>
    <cellStyle name="Comma 2 6 3 4" xfId="5551" xr:uid="{CB211188-CD45-4DEB-9067-C809D48EE95A}"/>
    <cellStyle name="Comma 2 6 4" xfId="3928" xr:uid="{D2585AA9-F04E-4026-8418-A06754B957A8}"/>
    <cellStyle name="Comma 2 6 5" xfId="4526" xr:uid="{A83B140A-68BD-4580-B535-134C8BE5D7CE}"/>
    <cellStyle name="Comma 2 6 6" xfId="4199" xr:uid="{6A4C541C-2E31-4568-A576-42E319A30F7D}"/>
    <cellStyle name="Comma 2 6 7" xfId="3119" xr:uid="{E5AD5B3F-F3BA-48B5-AD15-DF5A0AF988E7}"/>
    <cellStyle name="Comma 2 6 8" xfId="7061" xr:uid="{4D418202-A2D2-40C4-82AC-50B3BB6C2919}"/>
    <cellStyle name="Comma 2 7" xfId="205" xr:uid="{6880FED0-E7A3-4713-8B58-B1D7F51016C7}"/>
    <cellStyle name="Comma 2 7 2" xfId="471" xr:uid="{B741810E-D89E-4782-B16A-8C3FC7991851}"/>
    <cellStyle name="Comma 2 7 2 2" xfId="4681" xr:uid="{36C12A4A-26D0-4230-ACF7-75A5ED8FD383}"/>
    <cellStyle name="Comma 2 7 2 3" xfId="2751" xr:uid="{6F222CE0-24DE-4C78-877F-C51AD2423A1A}"/>
    <cellStyle name="Comma 2 7 3" xfId="2206" xr:uid="{E8361016-B2CC-40A0-A267-4420C6579107}"/>
    <cellStyle name="Comma 2 7 3 2" xfId="4201" xr:uid="{57B965AA-6856-4098-B741-B7AD292D5F2E}"/>
    <cellStyle name="Comma 2 7 4" xfId="3269" xr:uid="{6EF43D20-C172-4695-A4D3-C29953D36F8F}"/>
    <cellStyle name="Comma 2 7 5" xfId="1562" xr:uid="{A9B4C657-61CF-4E93-9109-B19B9D646F31}"/>
    <cellStyle name="Comma 2 7 6" xfId="7059" xr:uid="{B0B0F5E1-9370-4FE4-97F7-6ACA60041ADB}"/>
    <cellStyle name="Comma 2 8" xfId="456" xr:uid="{FE034393-B7C5-43C1-9333-AE8E7072AEC4}"/>
    <cellStyle name="Comma 2 8 2" xfId="2754" xr:uid="{754D71A3-26D2-48DC-B368-F3F942F299DF}"/>
    <cellStyle name="Comma 2 8 3" xfId="2317" xr:uid="{7057DE0F-5638-438F-A36A-961ABF01A29C}"/>
    <cellStyle name="Comma 2 8 3 2" xfId="4204" xr:uid="{D3BBBA71-3C17-466E-BAD3-D4235CCF58AC}"/>
    <cellStyle name="Comma 2 8 4" xfId="1567" xr:uid="{E2DE5FBE-44D9-4F10-9199-5F573BFA7194}"/>
    <cellStyle name="Comma 2 9" xfId="291" xr:uid="{44C41D01-F7D7-469F-A5B4-BEB8CBE2B1D5}"/>
    <cellStyle name="Comma 2 9 2" xfId="4930" xr:uid="{5438980A-4BEA-4604-836B-33EC30168887}"/>
    <cellStyle name="Comma 2 9 3" xfId="4109" xr:uid="{91A1AF68-6B9A-4740-B4CA-FC4A29A49533}"/>
    <cellStyle name="Comma 2 9 4" xfId="3828" xr:uid="{0BA9681A-7DF2-4617-8808-EC030A574F96}"/>
    <cellStyle name="Comma 2 9 5" xfId="1280" xr:uid="{68E3F7C1-CC37-4988-9324-4EBC0E199D40}"/>
    <cellStyle name="Comma 2_accrued  CAD(บริการกลาง) ก.ค.55" xfId="1555" xr:uid="{27C299A6-68F4-40BF-83E0-6A83B4416D4D}"/>
    <cellStyle name="Comma 20" xfId="297" xr:uid="{32E1EB77-C1B5-4D43-BA39-05511CA74A4D}"/>
    <cellStyle name="Comma 20 2" xfId="1139" xr:uid="{5276E636-7629-4D88-99F9-874E9D36FD4E}"/>
    <cellStyle name="Comma 20 2 2" xfId="1536" xr:uid="{8C1BACD9-24DE-4615-B1FC-98C1CC087DB1}"/>
    <cellStyle name="Comma 20 2 2 2" xfId="4723" xr:uid="{376E1F93-A75A-4E85-AF76-97CE985D8845}"/>
    <cellStyle name="Comma 20 2 2 2 2" xfId="5701" xr:uid="{189BED06-7089-4917-A579-B38D361E2276}"/>
    <cellStyle name="Comma 20 2 2 3" xfId="4194" xr:uid="{B9BB624A-4741-4CF4-BBEE-4FFD35BA0286}"/>
    <cellStyle name="Comma 20 2 2 4" xfId="3417" xr:uid="{26213C4B-D87F-40B3-AF25-4605DC99FE68}"/>
    <cellStyle name="Comma 20 2 3" xfId="1494" xr:uid="{B71AFDE5-92E3-423B-B6C4-8CC01A6E2E5C}"/>
    <cellStyle name="Comma 20 2 3 2" xfId="4747" xr:uid="{69C8713A-0E33-48E3-85CE-BC519F06CFD3}"/>
    <cellStyle name="Comma 20 2 3 2 2" xfId="5688" xr:uid="{49940F93-CEDE-42ED-BCC0-E393B45F00EF}"/>
    <cellStyle name="Comma 20 2 3 3" xfId="4178" xr:uid="{9F6291A3-4CA0-4AA7-B90B-F2AAB8B32311}"/>
    <cellStyle name="Comma 20 2 3 4" xfId="3462" xr:uid="{3EC99CE6-E931-4BE6-B188-B877C82D7614}"/>
    <cellStyle name="Comma 20 2 4" xfId="3837" xr:uid="{6770BCE6-3EF2-45D6-9D11-096B0D835A92}"/>
    <cellStyle name="Comma 20 2 5" xfId="4432" xr:uid="{362A3D66-F46A-4F8A-9D9F-72CD429CCA83}"/>
    <cellStyle name="Comma 20 3" xfId="1469" xr:uid="{91EAB6ED-30AA-42DF-BB96-60048E7091F7}"/>
    <cellStyle name="Comma 20 3 2" xfId="1782" xr:uid="{5ED2225D-EA20-4C99-81C1-A0252F3925C5}"/>
    <cellStyle name="Comma 20 3 2 2" xfId="2877" xr:uid="{E798FDA5-59CC-46CA-A76B-C2328B91686E}"/>
    <cellStyle name="Comma 20 3 2 2 2" xfId="5992" xr:uid="{80593334-B7AC-4701-BFB8-B2B20B226C25}"/>
    <cellStyle name="Comma 20 3 2 3" xfId="5588" xr:uid="{5C8DA406-5861-4121-AB58-0CE7C2747E24}"/>
    <cellStyle name="Comma 20 3 2 3 2" xfId="5912" xr:uid="{C082C347-1DDA-4B70-A19A-8E0C2C607237}"/>
    <cellStyle name="Comma 20 3 3" xfId="4668" xr:uid="{60CB316E-85CC-4161-B87B-9831ADE72FCE}"/>
    <cellStyle name="Comma 20 3 3 2" xfId="5678" xr:uid="{040C3242-61C2-4879-921D-C3ECBBE3C16F}"/>
    <cellStyle name="Comma 20 3 4" xfId="4171" xr:uid="{6DDCCDC6-F827-4BC5-A93C-FE5F3E918468}"/>
    <cellStyle name="Comma 20 3 5" xfId="3261" xr:uid="{92A79F95-7D69-4016-B9EA-22B421232372}"/>
    <cellStyle name="Comma 20 4" xfId="1521" xr:uid="{F7DA597E-CD75-4090-A557-FEB23775A3BD}"/>
    <cellStyle name="Comma 20 4 2" xfId="4680" xr:uid="{0C3DDA8E-10FE-46ED-A3B4-BD7DF363F93E}"/>
    <cellStyle name="Comma 20 4 2 2" xfId="5695" xr:uid="{76B7FFE2-41C7-438D-919C-96CD9507AB0B}"/>
    <cellStyle name="Comma 20 4 3" xfId="4188" xr:uid="{D8CF4482-66E7-48B7-A525-C00BC7D9B09B}"/>
    <cellStyle name="Comma 20 4 4" xfId="3268" xr:uid="{B7E3AD0A-4BF1-43A9-B217-C34474466571}"/>
    <cellStyle name="Comma 20 5" xfId="1453" xr:uid="{EFC4386A-3FE9-4583-8E9C-693BB9DB993E}"/>
    <cellStyle name="Comma 20 5 2" xfId="4932" xr:uid="{C88312DA-66B0-46ED-9A18-D0E0BA9263FC}"/>
    <cellStyle name="Comma 20 5 2 2" xfId="5673" xr:uid="{8D217D17-2124-4130-A374-CB29E21C62BC}"/>
    <cellStyle name="Comma 20 5 3" xfId="4166" xr:uid="{21B2CAF3-4013-494B-87E0-DDBF8023FA14}"/>
    <cellStyle name="Comma 20 5 4" xfId="3830" xr:uid="{9AE693AB-B134-4327-BE49-3B3B7AED373B}"/>
    <cellStyle name="Comma 20 6" xfId="1719" xr:uid="{021004A1-1914-4E29-AD08-46A786BF7AE3}"/>
    <cellStyle name="Comma 20 6 2" xfId="2844" xr:uid="{A4599026-6EE0-4DB5-B0EB-A6C9A0FECCBF}"/>
    <cellStyle name="Comma 20 6 2 2" xfId="5980" xr:uid="{2FABC5E6-11D8-4766-BEAE-35DC5E1AD11C}"/>
    <cellStyle name="Comma 20 6 3" xfId="5578" xr:uid="{B86790C2-06F1-44AD-9CF9-0A5A667A45D4}"/>
    <cellStyle name="Comma 20 6 3 2" xfId="5900" xr:uid="{BF505535-8124-450F-BC78-FC73D34AADC0}"/>
    <cellStyle name="Comma 20 7" xfId="2575" xr:uid="{05F18D4E-3A5B-4753-ADD3-30CE0593741F}"/>
    <cellStyle name="Comma 20 8" xfId="5488" xr:uid="{B98DA8E7-B898-49AC-AE4C-AED260219494}"/>
    <cellStyle name="Comma 20 9" xfId="816" xr:uid="{240A4035-5382-4CC1-AECA-DB823A5CAFE2}"/>
    <cellStyle name="Comma 21" xfId="298" xr:uid="{96ED0B53-85D1-427B-8831-16AFDC96C5AA}"/>
    <cellStyle name="Comma 21 2" xfId="1055" xr:uid="{6A0181C1-F430-42F2-AC8A-B26188F771F8}"/>
    <cellStyle name="Comma 21 2 2" xfId="1468" xr:uid="{449D0B34-CB8D-4548-A5B0-4E6652932D52}"/>
    <cellStyle name="Comma 21 2 2 2" xfId="5677" xr:uid="{85F8B3D5-5265-4FCF-AA04-5659F32BD348}"/>
    <cellStyle name="Comma 21 2 2 3" xfId="5530" xr:uid="{8299AF70-68AD-43B7-9DC3-08CEC9CABF5C}"/>
    <cellStyle name="Comma 21 2 3" xfId="4669" xr:uid="{AB80C0F5-BF67-47AE-BD9F-0EB2BE97A240}"/>
    <cellStyle name="Comma 21 2 4" xfId="4005" xr:uid="{0C5117F8-5051-4E7F-B5C0-A91E192A91B3}"/>
    <cellStyle name="Comma 21 3" xfId="1140" xr:uid="{DED6765F-66DB-42A5-8AAD-74287C1BA89B}"/>
    <cellStyle name="Comma 21 3 2" xfId="1523" xr:uid="{DB89D6EF-7433-439D-9187-D9CB373E27D9}"/>
    <cellStyle name="Comma 21 3 2 2" xfId="5696" xr:uid="{2C0BCC3F-A571-4118-B392-D25418953801}"/>
    <cellStyle name="Comma 21 3 2 3" xfId="5543" xr:uid="{94B8FDEE-4847-48B7-B8CD-49471B94CAC3}"/>
    <cellStyle name="Comma 21 3 3" xfId="4679" xr:uid="{4D247EBD-4979-41F3-B9B2-1A989E42A52E}"/>
    <cellStyle name="Comma 21 3 3 2" xfId="5654" xr:uid="{0D60CA00-ECD5-47F6-8A41-06388DBDAC76}"/>
    <cellStyle name="Comma 21 3 4" xfId="4050" xr:uid="{140DC8DE-21FC-4925-92F2-7C120FF02B67}"/>
    <cellStyle name="Comma 21 3 5" xfId="3267" xr:uid="{F8F740D8-6F0C-4F6A-BD40-473B41EB7399}"/>
    <cellStyle name="Comma 21 4" xfId="1456" xr:uid="{5FF6463C-F407-47E6-9285-76CEA153DF4F}"/>
    <cellStyle name="Comma 21 4 2" xfId="4933" xr:uid="{24774C22-0898-40DA-9BA6-698AABEFAF35}"/>
    <cellStyle name="Comma 21 4 2 2" xfId="5674" xr:uid="{16F9E361-C6FE-429D-8E18-4D103F3C7C49}"/>
    <cellStyle name="Comma 21 4 3" xfId="4167" xr:uid="{2C1EC3AC-1313-45D3-8362-9F3A9C743D39}"/>
    <cellStyle name="Comma 21 4 4" xfId="3831" xr:uid="{34160ECC-02C9-4668-AB42-56C33D693F4F}"/>
    <cellStyle name="Comma 21 5" xfId="2576" xr:uid="{6B8A49C0-F1CA-4512-8687-0E2482018DCC}"/>
    <cellStyle name="Comma 21 6" xfId="5489" xr:uid="{D850D18E-5513-4E98-B554-2AFA1AE8A916}"/>
    <cellStyle name="Comma 21 7" xfId="750" xr:uid="{2E8CD7E7-D216-47B4-975F-832C13655C13}"/>
    <cellStyle name="Comma 22" xfId="299" xr:uid="{785AAB2E-4AF6-48D4-836F-BA580000423C}"/>
    <cellStyle name="Comma 22 2" xfId="1056" xr:uid="{061C4E61-64B7-4A20-90B4-8218E1EDA7B7}"/>
    <cellStyle name="Comma 22 2 2" xfId="1539" xr:uid="{111E73CD-04B2-4210-A4B0-7AA2D4EE55D3}"/>
    <cellStyle name="Comma 22 2 2 2" xfId="5702" xr:uid="{4B856F37-D752-4579-AFBF-73D416A77425}"/>
    <cellStyle name="Comma 22 2 2 3" xfId="5548" xr:uid="{E2111F5C-DEAB-422D-B443-B679CF884515}"/>
    <cellStyle name="Comma 22 2 3" xfId="1497" xr:uid="{71E17929-E3E9-4093-8679-B85D5741996F}"/>
    <cellStyle name="Comma 22 2 3 2" xfId="5689" xr:uid="{9B1A445C-340E-4EA2-90A1-C3553E00A25F}"/>
    <cellStyle name="Comma 22 2 3 3" xfId="5539" xr:uid="{CD079C50-D041-49FA-A210-9EA062F98E71}"/>
    <cellStyle name="Comma 22 2 4" xfId="4670" xr:uid="{84D5FB08-0188-4D65-86FB-48FCC5224F0C}"/>
    <cellStyle name="Comma 22 2 5" xfId="4006" xr:uid="{4C232486-DB59-487F-B39B-F933C8282C12}"/>
    <cellStyle name="Comma 22 3" xfId="1141" xr:uid="{44FF3468-D5D4-418E-81B4-2C516D87BA88}"/>
    <cellStyle name="Comma 22 3 2" xfId="1525" xr:uid="{F9C1D66D-1BBE-4844-87E0-A1AF35868BF7}"/>
    <cellStyle name="Comma 22 3 2 2" xfId="5697" xr:uid="{CE2EF8A6-5872-4150-822C-13962D8B84CD}"/>
    <cellStyle name="Comma 22 3 2 3" xfId="5544" xr:uid="{616B085B-ECC3-475B-A383-CEB6710AD872}"/>
    <cellStyle name="Comma 22 3 3" xfId="4678" xr:uid="{F7405BA2-3B0A-4A64-A648-D41D8397FBA3}"/>
    <cellStyle name="Comma 22 3 3 2" xfId="5655" xr:uid="{B6F051AF-9F38-43BB-AB27-CD3EAE8B8DF8}"/>
    <cellStyle name="Comma 22 3 4" xfId="4051" xr:uid="{55C26BEB-E541-4E69-AC2D-14146BEB5F3C}"/>
    <cellStyle name="Comma 22 3 5" xfId="3266" xr:uid="{5F52A48F-05A9-4ADD-8C16-E61A546C9D30}"/>
    <cellStyle name="Comma 22 4" xfId="1459" xr:uid="{D1B0CF60-38C5-471A-83DA-1A2E9DE71459}"/>
    <cellStyle name="Comma 22 4 2" xfId="4934" xr:uid="{B287411A-B7CA-477B-88A6-C2AC14FB3EE5}"/>
    <cellStyle name="Comma 22 4 2 2" xfId="5675" xr:uid="{B93DAA24-14F4-460D-9749-DA2CBE549142}"/>
    <cellStyle name="Comma 22 4 3" xfId="4168" xr:uid="{C20E1165-F919-4FD0-9660-6C2BEB786947}"/>
    <cellStyle name="Comma 22 4 4" xfId="3832" xr:uid="{9BBF8B32-F191-4BA0-8DB2-EF7039029196}"/>
    <cellStyle name="Comma 22 5" xfId="2577" xr:uid="{68541532-96A9-4CFC-B5D4-8E1C2500B7A3}"/>
    <cellStyle name="Comma 22 6" xfId="5490" xr:uid="{80EDCF0B-7BEC-458A-BB04-CCDE0A33CF44}"/>
    <cellStyle name="Comma 22 7" xfId="862" xr:uid="{617BEE6C-F584-4578-8FD0-CCB94638A9AE}"/>
    <cellStyle name="Comma 23" xfId="300" xr:uid="{B70C5342-97B8-47A3-ADED-19C226D72706}"/>
    <cellStyle name="Comma 23 2" xfId="1526" xr:uid="{6B26DAA3-933C-4358-85AE-DDAD98107E8F}"/>
    <cellStyle name="Comma 23 2 2" xfId="1739" xr:uid="{EEED5568-F8DE-4F23-8427-C1D9A09E654D}"/>
    <cellStyle name="Comma 23 2 3" xfId="4677" xr:uid="{BADD69C8-6274-4DF1-8362-20E91E848A30}"/>
    <cellStyle name="Comma 23 2 4" xfId="4190" xr:uid="{D12F4F05-A9A6-4B1F-8A82-D9EC1A494DB2}"/>
    <cellStyle name="Comma 23 2 5" xfId="3265" xr:uid="{08B63795-22AE-4E36-9989-C3C9D39893E1}"/>
    <cellStyle name="Comma 23 2 6" xfId="5270" xr:uid="{5AC87BCB-B478-4C70-8FAA-A23B1832BFBF}"/>
    <cellStyle name="Comma 23 3" xfId="1460" xr:uid="{66D0311D-1EEA-4869-BE3F-60E7A537F6C7}"/>
    <cellStyle name="Comma 23 3 2" xfId="1785" xr:uid="{854A4FBE-4979-4A6D-A648-1951149F3E80}"/>
    <cellStyle name="Comma 23 3 2 2" xfId="2879" xr:uid="{D0A73A0E-D729-4897-B5BB-955502908992}"/>
    <cellStyle name="Comma 23 3 2 2 2" xfId="5993" xr:uid="{B7657B3F-431C-4835-8DFF-604B486CE5C3}"/>
    <cellStyle name="Comma 23 3 2 3" xfId="5589" xr:uid="{05083D2E-00CF-4BD8-B9D8-3B6E69DB8443}"/>
    <cellStyle name="Comma 23 3 2 3 2" xfId="5913" xr:uid="{1CAB8222-E69E-4C1C-9AA8-5F5E524A9862}"/>
    <cellStyle name="Comma 23 4" xfId="1722" xr:uid="{3C7FA70F-43FF-4FA0-8751-09365D5AFFD0}"/>
    <cellStyle name="Comma 23 4 2" xfId="2845" xr:uid="{8436A648-96CD-4E66-9597-3AB226A6DE67}"/>
    <cellStyle name="Comma 23 4 2 2" xfId="5981" xr:uid="{D0C4C24A-6AD9-4249-BA3B-2BDB2DD126D3}"/>
    <cellStyle name="Comma 23 4 3" xfId="5579" xr:uid="{E98F592B-AC52-400E-BC53-B765A0073E85}"/>
    <cellStyle name="Comma 23 4 3 2" xfId="5901" xr:uid="{3225A6FA-C008-490B-97FB-93996ACBC242}"/>
    <cellStyle name="Comma 23 5" xfId="801" xr:uid="{B356CF5A-3E6B-4AFD-98F1-C1D86E919B14}"/>
    <cellStyle name="Comma 24" xfId="301" xr:uid="{14754E24-E0B3-42D7-8BFE-7910560D590D}"/>
    <cellStyle name="Comma 24 2" xfId="1057" xr:uid="{47A027B9-5AAB-4936-86BD-56D3F23AA9BA}"/>
    <cellStyle name="Comma 24 2 2" xfId="1632" xr:uid="{304357D7-CBDF-4ADC-BB10-8043F5710803}"/>
    <cellStyle name="Comma 24 2 2 2" xfId="1667" xr:uid="{5EA4DC05-534B-49EF-882F-1DCB8C1D11A4}"/>
    <cellStyle name="Comma 24 2 2 2 2" xfId="1693" xr:uid="{B809025A-D847-433D-90C3-0BF43E791C1F}"/>
    <cellStyle name="Comma 24 2 2 2 2 2" xfId="2830" xr:uid="{D20794A8-AD0C-42C0-B863-D1470A91A182}"/>
    <cellStyle name="Comma 24 2 2 2 2 2 2" xfId="5806" xr:uid="{472C7D8B-3F04-4C51-BD89-C3722F668ADF}"/>
    <cellStyle name="Comma 24 2 2 2 2 2 2 2" xfId="6800" xr:uid="{CCEE20DF-CF24-4CDA-9BCE-9555EC94C8B4}"/>
    <cellStyle name="Comma 24 2 2 2 2 2 3" xfId="6261" xr:uid="{3B6A2B31-E9C9-4E88-920C-E08AE7E4A13E}"/>
    <cellStyle name="Comma 24 2 2 2 2 2 4" xfId="5478" xr:uid="{3D7718BB-E440-4DFB-ABB2-3EE7B2B832D5}"/>
    <cellStyle name="Comma 24 2 2 2 2 3" xfId="4277" xr:uid="{085D06AF-0711-4920-864D-B7D2B8EA8302}"/>
    <cellStyle name="Comma 24 2 2 2 2 3 2" xfId="5974" xr:uid="{9ECA9351-E5A7-4A04-AC4E-636B6CCE989D}"/>
    <cellStyle name="Comma 24 2 2 2 2 3 2 2" xfId="6974" xr:uid="{A76F53DF-7BD5-46AA-AE27-B1F4541593DB}"/>
    <cellStyle name="Comma 24 2 2 2 2 3 3" xfId="6638" xr:uid="{6AA74AD0-93A4-40BC-92C0-37B158CC35AB}"/>
    <cellStyle name="Comma 24 2 2 2 2 4" xfId="5100" xr:uid="{89ECB912-1FF1-49C2-AEF6-20564285CCA9}"/>
    <cellStyle name="Comma 24 2 2 2 2 4 2" xfId="5894" xr:uid="{C6806A60-4B40-44EB-9931-293D814CBA0D}"/>
    <cellStyle name="Comma 24 2 2 2 2 4 2 2" xfId="6918" xr:uid="{F0A1FB07-D6C5-447D-937C-164997B7C57F}"/>
    <cellStyle name="Comma 24 2 2 2 2 4 3" xfId="6433" xr:uid="{95CADBE1-2DDD-4ACE-93DD-4964646B5A2D}"/>
    <cellStyle name="Comma 24 2 2 2 2 4 4" xfId="5572" xr:uid="{70575ABE-B4D5-40FC-BA65-2E3DE5A14274}"/>
    <cellStyle name="Comma 24 2 2 2 2 5" xfId="6132" xr:uid="{9694C259-C7FB-47F3-B845-C22185DF3632}"/>
    <cellStyle name="Comma 24 2 2 2 3" xfId="2804" xr:uid="{8D708A51-FD09-4EF0-8F99-03E9180D5B50}"/>
    <cellStyle name="Comma 24 2 2 2 3 2" xfId="5780" xr:uid="{67BC81E2-2F7A-4571-A182-E89D15AC3DD3}"/>
    <cellStyle name="Comma 24 2 2 2 3 2 2" xfId="6774" xr:uid="{4FBDA8FE-E83B-4424-8897-C3DB2E837ACC}"/>
    <cellStyle name="Comma 24 2 2 2 3 3" xfId="6235" xr:uid="{3B90C11B-1DDA-4A4D-87AB-F99BC3A68AF0}"/>
    <cellStyle name="Comma 24 2 2 2 3 4" xfId="5470" xr:uid="{1551A906-BD7C-4E30-B7B9-B2B1591AD419}"/>
    <cellStyle name="Comma 24 2 2 2 4" xfId="2541" xr:uid="{837E8170-8638-424C-8238-EF2906E35398}"/>
    <cellStyle name="Comma 24 2 2 2 4 2" xfId="5966" xr:uid="{4CA5A0E3-3F13-4C01-B8B4-DB05496972A1}"/>
    <cellStyle name="Comma 24 2 2 2 4 2 2" xfId="6966" xr:uid="{AC470948-EEA2-4431-88DD-EAF976A328E4}"/>
    <cellStyle name="Comma 24 2 2 2 4 3" xfId="6613" xr:uid="{6B7FDEEF-2CF7-48FD-BB18-C1FE8EA58C44}"/>
    <cellStyle name="Comma 24 2 2 2 4 4" xfId="5709" xr:uid="{C772749A-7EDF-4FD9-9DC2-FBBAD0FD418B}"/>
    <cellStyle name="Comma 24 2 2 2 5" xfId="4251" xr:uid="{5B8AF6AD-5F66-4AD9-9A97-EAF7211D9CF2}"/>
    <cellStyle name="Comma 24 2 2 2 5 2" xfId="5886" xr:uid="{3179EC80-E0C4-4C2A-B678-3199298CD968}"/>
    <cellStyle name="Comma 24 2 2 2 5 2 2" xfId="6910" xr:uid="{BEE98F66-BD30-42DF-A87E-DD57CE48903D}"/>
    <cellStyle name="Comma 24 2 2 2 5 3" xfId="6407" xr:uid="{75AA0EAD-18C3-43C5-99AA-BB88F29A209C}"/>
    <cellStyle name="Comma 24 2 2 2 6" xfId="5074" xr:uid="{39E29E1B-23A3-40A2-B37B-1FCAE047182B}"/>
    <cellStyle name="Comma 24 2 2 3" xfId="1651" xr:uid="{D33BBA70-BFAE-4E91-B6C9-0D4725DA35DE}"/>
    <cellStyle name="Comma 24 2 2 3 2" xfId="2794" xr:uid="{4385C9A0-0135-4488-81F5-1F0A0CFA396A}"/>
    <cellStyle name="Comma 24 2 2 3 2 2" xfId="5770" xr:uid="{CA1D4824-1BAE-4CF4-B616-84986E2BBFC9}"/>
    <cellStyle name="Comma 24 2 2 3 2 2 2" xfId="6764" xr:uid="{F5689342-968C-44E4-9165-4ADB5C0C16E8}"/>
    <cellStyle name="Comma 24 2 2 3 2 3" xfId="6225" xr:uid="{453DFD58-0A86-4D47-A194-A4254490D4CF}"/>
    <cellStyle name="Comma 24 2 2 3 2 4" xfId="5467" xr:uid="{25107CF9-6C8C-426B-B776-5E8611173956}"/>
    <cellStyle name="Comma 24 2 2 3 3" xfId="4241" xr:uid="{8B42ECC3-E969-4439-BB07-666AF2FD2749}"/>
    <cellStyle name="Comma 24 2 2 3 3 2" xfId="5963" xr:uid="{7D21A4D5-A1A1-4B09-B72E-393143F1C00E}"/>
    <cellStyle name="Comma 24 2 2 3 3 2 2" xfId="6962" xr:uid="{E0E72053-B303-4614-9FAA-5554AAAAEBD7}"/>
    <cellStyle name="Comma 24 2 2 3 3 3" xfId="6604" xr:uid="{A3434DA6-EB0A-4EFD-AF2B-D76B7D18CC87}"/>
    <cellStyle name="Comma 24 2 2 3 4" xfId="5064" xr:uid="{A9AA8296-A742-47D1-BF74-B0794E412FF3}"/>
    <cellStyle name="Comma 24 2 2 3 4 2" xfId="5882" xr:uid="{64C4EC17-E9D1-4CCD-B94D-A03CAE467BBE}"/>
    <cellStyle name="Comma 24 2 2 3 4 2 2" xfId="6906" xr:uid="{A5A805F3-B276-4A8B-BBBD-0A0C6627A5AF}"/>
    <cellStyle name="Comma 24 2 2 3 4 3" xfId="6397" xr:uid="{4A5116EF-F509-49DE-A116-AB31B4FB9D9B}"/>
    <cellStyle name="Comma 24 2 2 3 4 4" xfId="5563" xr:uid="{F847496F-5818-4E7D-851A-3207674F8505}"/>
    <cellStyle name="Comma 24 2 2 3 5" xfId="6106" xr:uid="{DDA910FC-6D92-476E-89A6-2AAADBED021D}"/>
    <cellStyle name="Comma 24 2 2 4" xfId="1683" xr:uid="{47EA97CD-4587-473C-BF9C-05CFE558009F}"/>
    <cellStyle name="Comma 24 2 2 4 2" xfId="2820" xr:uid="{35A06FCC-A655-4AA3-AB3C-C1D669454BB3}"/>
    <cellStyle name="Comma 24 2 2 4 2 2" xfId="5796" xr:uid="{0DD54741-07DC-41D6-8B52-D5CD40BDCDF5}"/>
    <cellStyle name="Comma 24 2 2 4 2 2 2" xfId="6790" xr:uid="{6194418C-35EF-42FF-85FA-BFD5ECE83BEE}"/>
    <cellStyle name="Comma 24 2 2 4 2 3" xfId="6251" xr:uid="{CF3A7F58-0706-4B92-8E8B-14212CBA9CBC}"/>
    <cellStyle name="Comma 24 2 2 4 2 4" xfId="5474" xr:uid="{9100D10C-1987-415C-9017-31901F4C1167}"/>
    <cellStyle name="Comma 24 2 2 4 3" xfId="4267" xr:uid="{DA02D537-084C-4A80-8DB6-2DBD20E8D108}"/>
    <cellStyle name="Comma 24 2 2 4 3 2" xfId="5970" xr:uid="{058D965E-43A2-4431-A781-6E93B9413D32}"/>
    <cellStyle name="Comma 24 2 2 4 3 2 2" xfId="6970" xr:uid="{AB9F5423-04FF-483C-BFB8-2BEA26126029}"/>
    <cellStyle name="Comma 24 2 2 4 3 3" xfId="6628" xr:uid="{70A78251-FCE8-4ADA-A25B-874164356CE0}"/>
    <cellStyle name="Comma 24 2 2 4 4" xfId="5090" xr:uid="{B78B72C2-56A2-4A8D-B8C9-5F9435CA8ACB}"/>
    <cellStyle name="Comma 24 2 2 4 4 2" xfId="5890" xr:uid="{922ED08F-A0B9-41B0-B360-26CA4016072E}"/>
    <cellStyle name="Comma 24 2 2 4 4 2 2" xfId="6914" xr:uid="{DF32535A-464F-4649-BEF8-9C597796E942}"/>
    <cellStyle name="Comma 24 2 2 4 4 3" xfId="6423" xr:uid="{F8977C60-E9AD-4EA5-8E84-6ACCB55F935D}"/>
    <cellStyle name="Comma 24 2 2 4 4 4" xfId="5569" xr:uid="{76D92F62-E620-4577-A052-7ADDFF334867}"/>
    <cellStyle name="Comma 24 2 2 4 5" xfId="6123" xr:uid="{464A700B-CB6A-4B10-9F38-5159B923FB5D}"/>
    <cellStyle name="Comma 24 2 2 5" xfId="2779" xr:uid="{F80B98F9-DFF0-4470-8F78-4BCB0D712955}"/>
    <cellStyle name="Comma 24 2 2 5 2" xfId="4742" xr:uid="{7F38A57D-D549-4229-A3E3-00CB0DBB9D08}"/>
    <cellStyle name="Comma 24 2 2 5 2 2" xfId="6751" xr:uid="{42A239AF-C71F-4CA1-A376-A9094ABC5845}"/>
    <cellStyle name="Comma 24 2 2 5 2 3" xfId="5757" xr:uid="{4B2A39E1-700A-43A3-832D-04324EFDF2BB}"/>
    <cellStyle name="Comma 24 2 2 5 3" xfId="6212" xr:uid="{D972A727-5D6C-492D-B756-97F34D5C8E34}"/>
    <cellStyle name="Comma 24 2 2 5 4" xfId="5463" xr:uid="{E0A703D6-9491-4F8A-BF5C-0E6BDEB01611}"/>
    <cellStyle name="Comma 24 2 2 6" xfId="2314" xr:uid="{C4006309-8110-481D-B869-67226DB31C0C}"/>
    <cellStyle name="Comma 24 2 2 6 2" xfId="4224" xr:uid="{BD395C04-C569-4BAE-826D-B71E2A415ECD}"/>
    <cellStyle name="Comma 24 2 2 6 2 2" xfId="6959" xr:uid="{61D54EE3-E23D-496C-83BC-372A0F49AE3B}"/>
    <cellStyle name="Comma 24 2 2 6 3" xfId="6591" xr:uid="{6F9EF8C9-5EA8-4092-8DCC-06019A89B684}"/>
    <cellStyle name="Comma 24 2 2 7" xfId="3457" xr:uid="{323CBCCB-3702-44A3-BDE5-DEF2AE81CEE1}"/>
    <cellStyle name="Comma 24 2 2 7 2" xfId="5877" xr:uid="{7525E698-A744-4938-A644-F8D28BA5DD43}"/>
    <cellStyle name="Comma 24 2 2 7 2 2" xfId="6903" xr:uid="{8FB92097-B031-4949-A1AA-36A0AA1FC04E}"/>
    <cellStyle name="Comma 24 2 2 7 3" xfId="6384" xr:uid="{6D6F13C3-0F45-4CA4-9199-7E7ACB6190AB}"/>
    <cellStyle name="Comma 24 2 2 7 4" xfId="5558" xr:uid="{1F15353F-7512-4DDB-84FE-320F61B39F78}"/>
    <cellStyle name="Comma 24 2 2 8" xfId="5051" xr:uid="{6E5800C5-F6E4-47BF-9646-3C1CC04DAC14}"/>
    <cellStyle name="Comma 24 2 3" xfId="1542" xr:uid="{F221ABA9-B6D7-4985-A586-B05B2284050F}"/>
    <cellStyle name="Comma 24 2 3 2" xfId="5703" xr:uid="{02C37572-E423-4D25-879B-D5A2E8B069FB}"/>
    <cellStyle name="Comma 24 2 3 3" xfId="5549" xr:uid="{0FAD9838-5DB2-4965-A9D5-93B1C3E7AE19}"/>
    <cellStyle name="Comma 24 2 4" xfId="2622" xr:uid="{5C15DE11-8C6C-44FA-979E-347865518707}"/>
    <cellStyle name="Comma 24 2 4 2" xfId="4441" xr:uid="{8F911A02-CFEF-46D8-B721-668FB87F0045}"/>
    <cellStyle name="Comma 24 2 5" xfId="1979" xr:uid="{0B251CAD-7979-4FC8-8511-0FE61D8CF195}"/>
    <cellStyle name="Comma 24 2 5 2" xfId="4007" xr:uid="{ADA1D047-1A58-44B0-8898-70B133437273}"/>
    <cellStyle name="Comma 24 2 6" xfId="4991" xr:uid="{D6AB4B9E-BD85-4959-AAEF-84AA1461EF40}"/>
    <cellStyle name="Comma 24 3" xfId="1142" xr:uid="{C69E26EC-67C4-47D6-80B7-A9DECDC946CC}"/>
    <cellStyle name="Comma 24 3 2" xfId="1788" xr:uid="{3418432A-07C3-402A-8F39-EC9935E0410A}"/>
    <cellStyle name="Comma 24 3 2 2" xfId="2881" xr:uid="{1DF4059B-6546-45EC-95E8-CFDE06A1B8A5}"/>
    <cellStyle name="Comma 24 3 2 2 2" xfId="5994" xr:uid="{DAD256B6-3C1E-4489-AA87-5FCBA2F88B62}"/>
    <cellStyle name="Comma 24 3 2 3" xfId="5590" xr:uid="{DC970994-B4D3-48C8-8B95-8EBE8309CAA7}"/>
    <cellStyle name="Comma 24 3 2 3 2" xfId="5914" xr:uid="{AB0229C7-4550-4FF2-882D-17EFF961811B}"/>
    <cellStyle name="Comma 24 3 3" xfId="4672" xr:uid="{D26DEB62-1396-4272-A5BA-CC37BFC06DE0}"/>
    <cellStyle name="Comma 24 3 4" xfId="4052" xr:uid="{E0956A5D-1588-425E-AB75-AFABC13A28CB}"/>
    <cellStyle name="Comma 24 4" xfId="1500" xr:uid="{D7976829-E731-4F7A-9BAD-7ECECEBC54ED}"/>
    <cellStyle name="Comma 24 4 2" xfId="4726" xr:uid="{667A81A0-7CA7-451C-B691-6E9D272BAD24}"/>
    <cellStyle name="Comma 24 4 2 2" xfId="5690" xr:uid="{3352F96F-830B-49E6-9169-FD71E145B66E}"/>
    <cellStyle name="Comma 24 4 3" xfId="4180" xr:uid="{383D7392-AA0B-42A3-BF47-5DE6DB1F4D9C}"/>
    <cellStyle name="Comma 24 4 4" xfId="3427" xr:uid="{76FDF458-207E-4735-8332-203A3F5212C5}"/>
    <cellStyle name="Comma 24 5" xfId="1728" xr:uid="{F395B65A-B2A2-4F2A-AB28-30444A9A346A}"/>
    <cellStyle name="Comma 24 5 2" xfId="2847" xr:uid="{E6B622D3-B6AB-40D2-BBC5-2D49265DCAA2}"/>
    <cellStyle name="Comma 24 5 2 2" xfId="4935" xr:uid="{316A3E13-FE60-40DE-869E-5F932A9A5F59}"/>
    <cellStyle name="Comma 24 5 2 2 2" xfId="5982" xr:uid="{E22416FA-C7C1-4C78-924D-3586042524CA}"/>
    <cellStyle name="Comma 24 5 3" xfId="4291" xr:uid="{AB3CA787-9FB9-49F4-AED2-551CD1837832}"/>
    <cellStyle name="Comma 24 5 3 2" xfId="5902" xr:uid="{A7E864D0-3421-4366-8049-4580EBCCDC08}"/>
    <cellStyle name="Comma 24 5 4" xfId="3833" xr:uid="{887F13EC-B30B-4670-B17B-84CBA006B01F}"/>
    <cellStyle name="Comma 24 6" xfId="2578" xr:uid="{EEAA45CF-1810-4A19-8549-AACD5336B8C1}"/>
    <cellStyle name="Comma 24 7" xfId="5491" xr:uid="{84391ECF-A475-4FE4-A1F4-64C687B99063}"/>
    <cellStyle name="Comma 24 8" xfId="802" xr:uid="{8395A081-6FD8-4743-9D34-42AD39C32DF7}"/>
    <cellStyle name="Comma 25" xfId="302" xr:uid="{A421DF3C-A02F-4D28-B46E-1D683241D871}"/>
    <cellStyle name="Comma 25 2" xfId="1143" xr:uid="{D86E4468-7628-4136-B6BA-19BBEB7BC946}"/>
    <cellStyle name="Comma 25 2 2" xfId="2090" xr:uid="{95B30CF4-E436-4EA0-9693-1D0A1D207044}"/>
    <cellStyle name="Comma 25 2 2 2" xfId="2252" xr:uid="{E2000349-1AD4-4D10-B03B-395C882DE65F}"/>
    <cellStyle name="Comma 25 2 2 2 2" xfId="2481" xr:uid="{840B9242-FF34-4B75-A08D-EE91DB97B459}"/>
    <cellStyle name="Comma 25 2 2 2 2 2" xfId="3201" xr:uid="{27C92AB5-ED41-4D32-B4D7-71BFF2907516}"/>
    <cellStyle name="Comma 25 2 2 2 2 2 2" xfId="4609" xr:uid="{75ED0CFC-FA6A-4D0A-A58F-C1CCD7D9C85D}"/>
    <cellStyle name="Comma 25 2 2 2 2 3" xfId="3608" xr:uid="{E339CF61-114A-49C9-9B4D-3C3533D8715B}"/>
    <cellStyle name="Comma 25 2 2 2 2 3 2" xfId="4829" xr:uid="{65FF1ABF-4134-457C-93F0-ADF6CDB8E7F6}"/>
    <cellStyle name="Comma 25 2 2 2 2 4" xfId="3916" xr:uid="{485862D9-D841-4EC0-92B4-416319384DBC}"/>
    <cellStyle name="Comma 25 2 2 2 2 4 2" xfId="4963" xr:uid="{91471DDC-EA1F-4AD6-84B9-F221D29BDA08}"/>
    <cellStyle name="Comma 25 2 2 2 2 5" xfId="4518" xr:uid="{2CBEA6CA-E0A9-4787-9CE9-519C559F9731}"/>
    <cellStyle name="Comma 25 2 2 2 2 6" xfId="3106" xr:uid="{AA9FAF64-733C-4480-9585-4D404C4DF48C}"/>
    <cellStyle name="Comma 25 2 2 2 3" xfId="3156" xr:uid="{7AF87B62-582F-4B5E-A79E-0ED8FAF03395}"/>
    <cellStyle name="Comma 25 2 2 2 3 2" xfId="4564" xr:uid="{E5DCDDAB-C13D-4084-AC98-A559A0EBDFC8}"/>
    <cellStyle name="Comma 25 2 2 2 4" xfId="3549" xr:uid="{3F827575-E86F-4E1A-AAD6-E6595A115062}"/>
    <cellStyle name="Comma 25 2 2 2 4 2" xfId="4779" xr:uid="{707B4414-6048-47F8-AB69-C4A9F512F96A}"/>
    <cellStyle name="Comma 25 2 2 2 5" xfId="3868" xr:uid="{AA1C8C39-207A-4419-B362-2059EDF16C1B}"/>
    <cellStyle name="Comma 25 2 2 2 5 2" xfId="4949" xr:uid="{DDFAC97D-68BF-4277-A9C2-DA1C3E41D316}"/>
    <cellStyle name="Comma 25 2 2 2 6" xfId="4477" xr:uid="{378E2402-7176-434D-9A4E-07421DE26305}"/>
    <cellStyle name="Comma 25 2 2 2 7" xfId="3052" xr:uid="{B20675A1-D42E-40CF-BF44-8DF18FC69C11}"/>
    <cellStyle name="Comma 25 2 2 2 8" xfId="5656" xr:uid="{EBB2CF06-A5CA-419E-953C-A35BD0203A88}"/>
    <cellStyle name="Comma 25 2 2 3" xfId="2384" xr:uid="{E6F26FEF-6674-45CE-AE7E-3A4B371EC22B}"/>
    <cellStyle name="Comma 25 2 2 3 2" xfId="3180" xr:uid="{DB8BCAA8-67A4-4F96-A8AD-2ECA55A1AE90}"/>
    <cellStyle name="Comma 25 2 2 3 2 2" xfId="4588" xr:uid="{E2F534B1-D74A-482B-9A76-D8147BF6D932}"/>
    <cellStyle name="Comma 25 2 2 3 3" xfId="3587" xr:uid="{36918BFC-EC0A-45EC-85D2-4C6211485510}"/>
    <cellStyle name="Comma 25 2 2 3 3 2" xfId="4808" xr:uid="{98269B1A-BE85-46BC-BA55-D22F23A5123F}"/>
    <cellStyle name="Comma 25 2 2 3 4" xfId="3895" xr:uid="{D6E1B1DD-954A-412C-8525-06B72D9814ED}"/>
    <cellStyle name="Comma 25 2 2 3 4 2" xfId="4956" xr:uid="{199776BA-2A70-4908-9A21-94313B672275}"/>
    <cellStyle name="Comma 25 2 2 3 5" xfId="4505" xr:uid="{92138AC2-61FD-4137-90CC-85A0E1A472FD}"/>
    <cellStyle name="Comma 25 2 2 3 6" xfId="3085" xr:uid="{BD49CA94-DFB3-4724-BF41-4D3EE094A022}"/>
    <cellStyle name="Comma 25 2 2 4" xfId="3135" xr:uid="{65A5184B-1696-4FD9-8B92-27EEC24C836C}"/>
    <cellStyle name="Comma 25 2 2 4 2" xfId="4543" xr:uid="{F21C7297-A347-4381-B463-76B748243597}"/>
    <cellStyle name="Comma 25 2 2 5" xfId="3510" xr:uid="{5C3F36B0-4540-43B0-BA77-B48511845B0F}"/>
    <cellStyle name="Comma 25 2 2 5 2" xfId="4754" xr:uid="{E7298EC3-210F-42A0-900C-DEA7AA92AAAD}"/>
    <cellStyle name="Comma 25 2 2 6" xfId="3847" xr:uid="{E04F46BF-284B-46C5-B79E-38A8E697AD4F}"/>
    <cellStyle name="Comma 25 2 2 6 2" xfId="4941" xr:uid="{463641C3-FBD3-4AC1-87AF-DB429DE45B8C}"/>
    <cellStyle name="Comma 25 2 2 7" xfId="4453" xr:uid="{61384B49-1A60-411E-8547-0DAC4B5F1F96}"/>
    <cellStyle name="Comma 25 2 2 8" xfId="3031" xr:uid="{D15F41A8-BC53-42CA-B7A2-6653C9D95393}"/>
    <cellStyle name="Comma 25 2 2 9" xfId="5443" xr:uid="{79FD384A-FA78-4749-8865-4098F2556E23}"/>
    <cellStyle name="Comma 25 2 3" xfId="2138" xr:uid="{83C0CA83-74C0-4A8F-80B0-78845DFEEC35}"/>
    <cellStyle name="Comma 25 2 3 2" xfId="4725" xr:uid="{84C2BB49-6002-4BFE-BDB1-B33AB1102A98}"/>
    <cellStyle name="Comma 25 2 3 3" xfId="5624" xr:uid="{BB2B7603-7B20-4CBF-BEDF-36FA97CBEB86}"/>
    <cellStyle name="Comma 25 2 4" xfId="2230" xr:uid="{51BCED03-8F4A-46AF-8C86-3721FE8183A6}"/>
    <cellStyle name="Comma 25 2 4 2" xfId="2461" xr:uid="{2721B4D4-CB2F-4DD9-8320-32DCF9ABAB4A}"/>
    <cellStyle name="Comma 25 2 4 3" xfId="3838" xr:uid="{D82D25FB-B99D-441F-8B84-0A1A0C019FAE}"/>
    <cellStyle name="Comma 25 2 5" xfId="2363" xr:uid="{8BD85892-A5DE-4D11-BFEC-A1E716AC41F9}"/>
    <cellStyle name="Comma 25 2 5 2" xfId="4434" xr:uid="{4133C39B-B41F-4152-98DC-1B6D0907367D}"/>
    <cellStyle name="Comma 25 2 6" xfId="2649" xr:uid="{78E517A3-C48C-4F6C-94DD-0AEAF36A73BB}"/>
    <cellStyle name="Comma 25 2 7" xfId="2067" xr:uid="{F5814EC7-9764-44AA-A843-5666999C2019}"/>
    <cellStyle name="Comma 25 2 8" xfId="5311" xr:uid="{F5EC935E-439C-4370-885D-8F7DC66F8A5E}"/>
    <cellStyle name="Comma 25 2_NFS31" xfId="2103" xr:uid="{AB2C4686-BE96-486A-9844-B4497988B77D}"/>
    <cellStyle name="Comma 25 3" xfId="1510" xr:uid="{55B7ADC7-B6F9-4259-80E5-9B4C23C5F23D}"/>
    <cellStyle name="Comma 25 3 10" xfId="5314" xr:uid="{1391EF42-4F78-4973-AC80-98643D00672A}"/>
    <cellStyle name="Comma 25 3 2" xfId="1791" xr:uid="{21A0A0D8-504F-4EFB-9DE2-EEC129D3337A}"/>
    <cellStyle name="Comma 25 3 2 2" xfId="2474" xr:uid="{82D807FF-55DD-42FE-9E32-FD4797203C19}"/>
    <cellStyle name="Comma 25 3 2 2 2" xfId="3195" xr:uid="{02485413-F4DC-44B4-9753-F0A92CD8B195}"/>
    <cellStyle name="Comma 25 3 2 2 2 2" xfId="4603" xr:uid="{73D191E2-0F3A-4361-BEBE-005B4B525A04}"/>
    <cellStyle name="Comma 25 3 2 2 2 3" xfId="5995" xr:uid="{6E75F2EB-FF7B-4221-9A3A-48F86D7F735E}"/>
    <cellStyle name="Comma 25 3 2 2 3" xfId="3602" xr:uid="{22A6DF7F-E5B2-4682-B12B-BC7B027F94AC}"/>
    <cellStyle name="Comma 25 3 2 2 3 2" xfId="4823" xr:uid="{DEDA626F-CDF3-443A-BEB7-BF8764A7039C}"/>
    <cellStyle name="Comma 25 3 2 2 4" xfId="3910" xr:uid="{88033D6A-F400-45A3-8D09-BF0A44470FFC}"/>
    <cellStyle name="Comma 25 3 2 2 4 2" xfId="4960" xr:uid="{3E7DFAD9-51FA-4019-8856-2C940EFA61BF}"/>
    <cellStyle name="Comma 25 3 2 2 5" xfId="4515" xr:uid="{27FA683F-366D-4444-9735-E45D5D6E5455}"/>
    <cellStyle name="Comma 25 3 2 2 6" xfId="3100" xr:uid="{71856496-509E-4965-A731-A204D9B99283}"/>
    <cellStyle name="Comma 25 3 2 2 7" xfId="5720" xr:uid="{1BD7DCDD-C6CE-4B9B-8275-BE64A108998D}"/>
    <cellStyle name="Comma 25 3 2 3" xfId="2883" xr:uid="{95925031-95A8-4C12-B496-9D77709E6C4B}"/>
    <cellStyle name="Comma 25 3 2 3 2" xfId="4558" xr:uid="{1A6E2A74-1A61-4B4A-BB16-706F8346931E}"/>
    <cellStyle name="Comma 25 3 2 3 2 2" xfId="5915" xr:uid="{BBF2DAA9-F0C7-4860-A22B-FC1FCBFF8080}"/>
    <cellStyle name="Comma 25 3 2 3 3" xfId="3150" xr:uid="{1A68B4E6-9808-491D-886B-8C012422776B}"/>
    <cellStyle name="Comma 25 3 2 4" xfId="2245" xr:uid="{112145DC-5C5C-4D27-B32B-2F5815607DFE}"/>
    <cellStyle name="Comma 25 3 2 4 2" xfId="4773" xr:uid="{31618FE3-BF6C-461D-ADF9-48DC4575C23F}"/>
    <cellStyle name="Comma 25 3 2 4 3" xfId="3540" xr:uid="{02A53299-F6E1-44EE-AE55-7CA174D9845A}"/>
    <cellStyle name="Comma 25 3 2 5" xfId="3862" xr:uid="{DA140A7E-A7E2-4A51-946C-3B8212594FF4}"/>
    <cellStyle name="Comma 25 3 2 5 2" xfId="4946" xr:uid="{46BC8F35-E9C5-44A7-944E-1BBEB28EDAAC}"/>
    <cellStyle name="Comma 25 3 2 6" xfId="4472" xr:uid="{A598B371-EC3B-4A01-AFCD-A1B9D3D3F368}"/>
    <cellStyle name="Comma 25 3 2 7" xfId="4319" xr:uid="{D44C02AB-046F-4DA8-BDC2-7A4BEF1FE0DF}"/>
    <cellStyle name="Comma 25 3 2 8" xfId="3046" xr:uid="{7C661076-A7F3-487F-9B71-7B5A260D95BC}"/>
    <cellStyle name="Comma 25 3 3" xfId="2377" xr:uid="{85DF71A4-4A4C-471E-81E2-B12E30B4F508}"/>
    <cellStyle name="Comma 25 3 3 2" xfId="3174" xr:uid="{4677EA5A-728B-4DBD-9977-3A52D83ACA54}"/>
    <cellStyle name="Comma 25 3 3 2 2" xfId="4582" xr:uid="{BEFD6623-325F-4EB0-A54D-DD4C535124AC}"/>
    <cellStyle name="Comma 25 3 3 3" xfId="3581" xr:uid="{981C02C9-07BC-43E2-B5DA-665986B31279}"/>
    <cellStyle name="Comma 25 3 3 3 2" xfId="4802" xr:uid="{E5A815B5-7FD0-4599-9C59-4BD5EC6E9CE8}"/>
    <cellStyle name="Comma 25 3 3 4" xfId="3889" xr:uid="{108B402D-D305-4BDC-BB17-B6F94B3C116E}"/>
    <cellStyle name="Comma 25 3 3 4 2" xfId="4953" xr:uid="{E86ECBB0-C201-4D7F-911C-48BCA49A485E}"/>
    <cellStyle name="Comma 25 3 3 5" xfId="4502" xr:uid="{4D3F2984-65AF-4643-B333-A911056BB47C}"/>
    <cellStyle name="Comma 25 3 3 6" xfId="3079" xr:uid="{7E5C9A59-5782-4C16-BB1F-AA716B62568D}"/>
    <cellStyle name="Comma 25 3 3 7" xfId="5691" xr:uid="{E3219871-067D-4BF1-9802-30CF5C537599}"/>
    <cellStyle name="Comma 25 3 4" xfId="2734" xr:uid="{6C105BA1-9E4D-4BAD-9472-2A322ED156F5}"/>
    <cellStyle name="Comma 25 3 4 2" xfId="4537" xr:uid="{E1404FFB-8432-48DC-8B7B-12C9E0916E7F}"/>
    <cellStyle name="Comma 25 3 4 3" xfId="3129" xr:uid="{8CCF0CA8-C387-4CF9-B3CE-2FB4F634C6CD}"/>
    <cellStyle name="Comma 25 3 5" xfId="2083" xr:uid="{40C4CE2B-BE46-4757-9B7C-880D5B0AFEB1}"/>
    <cellStyle name="Comma 25 3 5 2" xfId="4734" xr:uid="{2DB98DF6-8A1E-46F3-B129-0629A9A319C6}"/>
    <cellStyle name="Comma 25 3 5 3" xfId="3436" xr:uid="{90553BD6-8B5F-4713-BB5F-38360AB50E1E}"/>
    <cellStyle name="Comma 25 3 6" xfId="3841" xr:uid="{A6178CAE-CEC8-4A99-A1C4-1B1A147A9C5A}"/>
    <cellStyle name="Comma 25 3 6 2" xfId="4938" xr:uid="{52D73248-7D97-481F-A060-B44538EBD611}"/>
    <cellStyle name="Comma 25 3 7" xfId="4437" xr:uid="{659A93CC-DC32-42D7-A1DF-896163ECBFEF}"/>
    <cellStyle name="Comma 25 3 8" xfId="4185" xr:uid="{24E8FF5D-C3DB-4D03-B40F-2F1AE88C8009}"/>
    <cellStyle name="Comma 25 3 9" xfId="3023" xr:uid="{8F4C6F8D-9295-4873-8ED4-CE284C687A95}"/>
    <cellStyle name="Comma 25 4" xfId="1731" xr:uid="{64EC6D23-0EF5-436E-B304-D96211B7B0C6}"/>
    <cellStyle name="Comma 25 4 2" xfId="2848" xr:uid="{DCA89B8E-5EC5-4BD0-AA9B-351F6C88D9F7}"/>
    <cellStyle name="Comma 25 4 2 2" xfId="4673" xr:uid="{E321FBD0-F488-44EF-8232-E91D9A94DE06}"/>
    <cellStyle name="Comma 25 4 2 2 2" xfId="5983" xr:uid="{5C23B5EA-30D2-43F9-84A1-908E5AF99A66}"/>
    <cellStyle name="Comma 25 4 3" xfId="2118" xr:uid="{D6FDE9C7-D81F-4446-9A53-46DD147D0BAB}"/>
    <cellStyle name="Comma 25 4 3 2" xfId="4292" xr:uid="{F40FA988-0AB9-4204-B078-B40C8EF15A50}"/>
    <cellStyle name="Comma 25 5" xfId="2223" xr:uid="{2D7802B5-55B2-42A2-859F-78CEA61264E6}"/>
    <cellStyle name="Comma 25 5 2" xfId="2454" xr:uid="{6C9225F6-C770-4407-B1BB-24A2F3EE6BD9}"/>
    <cellStyle name="Comma 25 5 2 2" xfId="4676" xr:uid="{32D15634-E248-43E1-AC2D-FDAF5A1C1E01}"/>
    <cellStyle name="Comma 25 5 3" xfId="3264" xr:uid="{BBBA7541-A3B3-46A6-836E-160C3EBE0930}"/>
    <cellStyle name="Comma 25 5 4" xfId="5635" xr:uid="{DA2E61DD-EAD8-46A3-9265-4413FBCD7B69}"/>
    <cellStyle name="Comma 25 6" xfId="2354" xr:uid="{A8BB38FD-C21E-4982-932A-EA594C6055DF}"/>
    <cellStyle name="Comma 25 6 2" xfId="3834" xr:uid="{6BCEA025-66A7-4984-8150-6013BC8DEFF9}"/>
    <cellStyle name="Comma 25 7" xfId="2579" xr:uid="{CC13695B-E3A2-4273-9BBE-8B71447FDE20}"/>
    <cellStyle name="Comma 25 8" xfId="2013" xr:uid="{FDB0C867-B3AA-4101-B307-2F80B993CBAF}"/>
    <cellStyle name="Comma 25 9" xfId="786" xr:uid="{8C3E373D-2847-4FCA-8C58-68A2500208FE}"/>
    <cellStyle name="Comma 25_NFS31" xfId="2172" xr:uid="{67D2988F-A795-4E81-A908-14DC4BE7A8CD}"/>
    <cellStyle name="Comma 26" xfId="303" xr:uid="{3A959020-0935-4BD8-8CF3-F363D6E3BC33}"/>
    <cellStyle name="Comma 26 10" xfId="1978" xr:uid="{802A863E-CEDB-4C87-ADF3-95D11EDD15C7}"/>
    <cellStyle name="Comma 26 11" xfId="3027" xr:uid="{37500EF9-5E34-46B2-B53C-DBFC43A95E12}"/>
    <cellStyle name="Comma 26 12" xfId="5005" xr:uid="{249FCEA9-1BC6-445C-B53B-87C09EC780B7}"/>
    <cellStyle name="Comma 26 13" xfId="1012" xr:uid="{0514542F-53E8-4BD2-9608-0F96405A4C25}"/>
    <cellStyle name="Comma 26 2" xfId="1116" xr:uid="{2210AC77-005F-448B-99DB-5A3EE74052E3}"/>
    <cellStyle name="Comma 26 2 2" xfId="1767" xr:uid="{76B72C61-C9B3-4C57-A0B2-35EF941D6CFF}"/>
    <cellStyle name="Comma 26 2 2 2" xfId="2249" xr:uid="{B2C32180-E056-4814-AEDA-82D793284B92}"/>
    <cellStyle name="Comma 26 2 2 2 2" xfId="2478" xr:uid="{DE2A5156-0AD3-42D9-B264-430AB7E0BD54}"/>
    <cellStyle name="Comma 26 2 2 2 2 2" xfId="4607" xr:uid="{89DB1EF2-35B2-4377-9142-F72E081A26F0}"/>
    <cellStyle name="Comma 26 2 2 2 2 3" xfId="3199" xr:uid="{89A4B79D-7BE3-4DE1-9E42-235A24242898}"/>
    <cellStyle name="Comma 26 2 2 2 3" xfId="3606" xr:uid="{3198F555-E30B-40A9-B0E3-669DE3AD21AC}"/>
    <cellStyle name="Comma 26 2 2 2 3 2" xfId="4827" xr:uid="{81198B12-C3C9-4BCB-9016-01DEE8DB04D0}"/>
    <cellStyle name="Comma 26 2 2 2 4" xfId="3914" xr:uid="{66C550CA-AC9E-4D45-9C2A-A39E6B8490DA}"/>
    <cellStyle name="Comma 26 2 2 2 4 2" xfId="4962" xr:uid="{91FBEC34-C3FF-401D-A7C7-FFCE4081E0B7}"/>
    <cellStyle name="Comma 26 2 2 2 5" xfId="4517" xr:uid="{1E9F708C-EAF9-4995-88E0-40B66EDA5413}"/>
    <cellStyle name="Comma 26 2 2 2 6" xfId="3104" xr:uid="{A7045D4F-4773-44FC-8C46-A1C7DF74307B}"/>
    <cellStyle name="Comma 26 2 2 2 7" xfId="5719" xr:uid="{42A4B0E5-97D5-4A33-B10A-C2A82CE296E5}"/>
    <cellStyle name="Comma 26 2 2 3" xfId="2381" xr:uid="{4F2697EA-A712-4129-8A6B-B0E884A94264}"/>
    <cellStyle name="Comma 26 2 2 3 2" xfId="4562" xr:uid="{4EFC53C1-7EE7-4154-959F-03489EE1ED71}"/>
    <cellStyle name="Comma 26 2 2 3 3" xfId="3154" xr:uid="{20AB2E7F-29F9-4C2E-817A-2F9186713070}"/>
    <cellStyle name="Comma 26 2 2 3 4" xfId="5584" xr:uid="{FF7CEDC9-8ABC-4F07-BDD1-F6641BC80BFF}"/>
    <cellStyle name="Comma 26 2 2 4" xfId="2864" xr:uid="{090C2E0D-1D36-4F20-80F5-C76B30CE6A8B}"/>
    <cellStyle name="Comma 26 2 2 4 2" xfId="4777" xr:uid="{2E4463B1-1A56-41DB-ABB5-70440F695052}"/>
    <cellStyle name="Comma 26 2 2 4 3" xfId="3545" xr:uid="{B25E2B29-2DD4-47F8-8129-4F341DBD2032}"/>
    <cellStyle name="Comma 26 2 2 5" xfId="2087" xr:uid="{8AD18792-4C79-4710-87C2-D660BC47055A}"/>
    <cellStyle name="Comma 26 2 2 5 2" xfId="4948" xr:uid="{089B7091-4ADD-4696-BE74-A32DE4E0898C}"/>
    <cellStyle name="Comma 26 2 2 5 3" xfId="3866" xr:uid="{BEF9F489-C203-4E6B-A126-F07307E96C90}"/>
    <cellStyle name="Comma 26 2 2 6" xfId="4475" xr:uid="{FCFAAD2C-97DB-471F-B7EE-416F9449C288}"/>
    <cellStyle name="Comma 26 2 2 7" xfId="4303" xr:uid="{22C74BE1-52DF-4B85-93D4-A6EDCD25B08B}"/>
    <cellStyle name="Comma 26 2 2 8" xfId="3050" xr:uid="{39B943C4-42B8-4E51-A918-436FF198ACFB}"/>
    <cellStyle name="Comma 26 2 3" xfId="1912" xr:uid="{29719AFA-EDBD-4AFB-89CF-AE15C5D57BDF}"/>
    <cellStyle name="Comma 26 2 3 2" xfId="2291" xr:uid="{F9D3AF60-7FB7-4A4B-BE0F-AA1FBC2453A6}"/>
    <cellStyle name="Comma 26 2 3 2 2" xfId="2520" xr:uid="{F4C926AF-6E93-4783-B1CA-E66EDF8FED44}"/>
    <cellStyle name="Comma 26 2 3 2 2 2" xfId="4586" xr:uid="{325DDEED-5DBB-4FA1-B229-BF96947F70DA}"/>
    <cellStyle name="Comma 26 2 3 2 3" xfId="3178" xr:uid="{2816BD5C-4FE2-41CB-B1A0-6611436C769D}"/>
    <cellStyle name="Comma 26 2 3 2 3 2" xfId="6724" xr:uid="{92D0D33B-DAE7-49CE-8706-C2317D0DD7AE}"/>
    <cellStyle name="Comma 26 2 3 3" xfId="2425" xr:uid="{540D00F1-B912-4EFB-A24E-7FD2A8121D02}"/>
    <cellStyle name="Comma 26 2 3 3 2" xfId="4806" xr:uid="{9FA7C092-6018-44C9-BE24-E4A2C01D55BF}"/>
    <cellStyle name="Comma 26 2 3 3 2 2" xfId="6942" xr:uid="{AF8AF389-07FA-47E6-AD3D-A5CB0E9A13AF}"/>
    <cellStyle name="Comma 26 2 3 3 3" xfId="3585" xr:uid="{6879C03F-8261-439E-AA5C-AA8CBF5B0C04}"/>
    <cellStyle name="Comma 26 2 3 4" xfId="2988" xr:uid="{ABCECDBB-F1DD-4FD1-822B-3E24FF38414F}"/>
    <cellStyle name="Comma 26 2 3 4 2" xfId="4955" xr:uid="{09546D9B-C198-4498-BDD4-2BEF03A12ACD}"/>
    <cellStyle name="Comma 26 2 3 4 3" xfId="3893" xr:uid="{2FE885CA-5036-469C-B6D1-E93BBA76B9D7}"/>
    <cellStyle name="Comma 26 2 3 4 4" xfId="6192" xr:uid="{428148F5-4AF8-40BD-8227-99482753FBFE}"/>
    <cellStyle name="Comma 26 2 3 5" xfId="2164" xr:uid="{91E5D229-5FCD-4774-BA62-FA902E3A8521}"/>
    <cellStyle name="Comma 26 2 3 5 2" xfId="4504" xr:uid="{DFFCDD63-D5EA-4CF3-84D2-2D6DB8374952}"/>
    <cellStyle name="Comma 26 2 3 6" xfId="3083" xr:uid="{150F3DCE-BCA4-454A-BFBF-CDC70E6E0BA6}"/>
    <cellStyle name="Comma 26 2 3 7" xfId="5225" xr:uid="{FF6CCA13-8529-4F76-B39B-46DF04DAD2E9}"/>
    <cellStyle name="Comma 26 2 4" xfId="2227" xr:uid="{13FABFD4-2B87-4F48-B3CB-82821CD0E624}"/>
    <cellStyle name="Comma 26 2 4 2" xfId="2458" xr:uid="{1C41BE3F-A39C-43DA-9395-D2AECEFFA2B7}"/>
    <cellStyle name="Comma 26 2 4 2 2" xfId="4541" xr:uid="{B4117C78-D994-448C-8414-F09E96D8BB24}"/>
    <cellStyle name="Comma 26 2 4 3" xfId="3133" xr:uid="{560E9F0D-DA75-4DDF-954A-C11A13FAE569}"/>
    <cellStyle name="Comma 26 2 4 3 2" xfId="6571" xr:uid="{B30ACD76-AEEB-48C6-8298-BED8DC2756DE}"/>
    <cellStyle name="Comma 26 2 5" xfId="2358" xr:uid="{D7267989-3281-4467-A2F4-8E5B9F36F5F8}"/>
    <cellStyle name="Comma 26 2 5 2" xfId="4744" xr:uid="{C66C6BE2-7BD1-4EF7-AB5D-01C93EDB8595}"/>
    <cellStyle name="Comma 26 2 5 2 2" xfId="6899" xr:uid="{0AF50CBB-5769-4C6F-9705-D811283EAD63}"/>
    <cellStyle name="Comma 26 2 5 3" xfId="3459" xr:uid="{92D2A463-2801-42D4-A616-4934464E4677}"/>
    <cellStyle name="Comma 26 2 6" xfId="2635" xr:uid="{FE453E61-B6EC-42E4-8A57-E1C891EF7E0A}"/>
    <cellStyle name="Comma 26 2 6 2" xfId="4940" xr:uid="{E9E16046-A2A8-4CDF-AD92-2F1CD3B9EE35}"/>
    <cellStyle name="Comma 26 2 6 3" xfId="3845" xr:uid="{FBEB4454-F9FA-4677-9C69-5F9389712F18}"/>
    <cellStyle name="Comma 26 2 6 4" xfId="6081" xr:uid="{A37D1394-7FC9-40F8-82A5-464A1B4C4C77}"/>
    <cellStyle name="Comma 26 2 7" xfId="1977" xr:uid="{53E69024-73DF-4F90-AF70-123A41534686}"/>
    <cellStyle name="Comma 26 2 7 2" xfId="4443" xr:uid="{0156F7EC-486A-4180-A244-C612D76D9D7F}"/>
    <cellStyle name="Comma 26 2 8" xfId="3028" xr:uid="{20B680A5-89F4-42FE-91D5-A229BAA71DEA}"/>
    <cellStyle name="Comma 26 2 9" xfId="5022" xr:uid="{C68D7BD1-E303-4959-8DDC-9D7CAC394D2F}"/>
    <cellStyle name="Comma 26 3" xfId="1157" xr:uid="{7040F1E7-EACE-4E88-BF62-3B61D6BBEE6D}"/>
    <cellStyle name="Comma 26 3 2" xfId="2248" xr:uid="{5F21EC17-7B14-4BB5-82F4-15446E9F7B11}"/>
    <cellStyle name="Comma 26 3 2 2" xfId="2477" xr:uid="{5B6FAF5B-AAA8-4C6D-935E-216A6C9E4052}"/>
    <cellStyle name="Comma 26 3 2 2 2" xfId="4606" xr:uid="{74DC1DFF-4324-4900-A9A8-54F82E5DFC4F}"/>
    <cellStyle name="Comma 26 3 2 2 3" xfId="3198" xr:uid="{5FB185B0-E437-4109-A21D-93EEF5382C62}"/>
    <cellStyle name="Comma 26 3 2 3" xfId="3605" xr:uid="{0FDFE5C9-2EF1-427F-9060-BD1A400EB17D}"/>
    <cellStyle name="Comma 26 3 2 3 2" xfId="4826" xr:uid="{8DD62D97-00FE-47BB-8BE0-A50A46926B1B}"/>
    <cellStyle name="Comma 26 3 2 4" xfId="3913" xr:uid="{4EB72E4B-C85F-439A-BEBC-EB9CA9E3F5AD}"/>
    <cellStyle name="Comma 26 3 2 4 2" xfId="4961" xr:uid="{D6A51718-CAEE-4183-8D8B-26EE54082845}"/>
    <cellStyle name="Comma 26 3 2 5" xfId="4516" xr:uid="{05B9B0DB-6897-4281-83DB-06668B32A84F}"/>
    <cellStyle name="Comma 26 3 2 6" xfId="3103" xr:uid="{55AB5888-DF5F-4E58-8A7C-87F2DD215970}"/>
    <cellStyle name="Comma 26 3 3" xfId="2380" xr:uid="{D4B0A960-0610-4CF0-ADF6-518D57BBB6C6}"/>
    <cellStyle name="Comma 26 3 3 2" xfId="4561" xr:uid="{D82F8708-ED3B-43BD-88D0-94B68F8463A7}"/>
    <cellStyle name="Comma 26 3 3 3" xfId="3153" xr:uid="{12508ACA-C3BF-41C7-A0E7-761BB1A0AB8C}"/>
    <cellStyle name="Comma 26 3 4" xfId="2655" xr:uid="{68DB7830-87F0-4B3F-8521-FAECDBC89B59}"/>
    <cellStyle name="Comma 26 3 4 2" xfId="4776" xr:uid="{7B97EA8A-03B6-435C-94EA-0E0D9FE09B90}"/>
    <cellStyle name="Comma 26 3 4 3" xfId="3544" xr:uid="{1A7FD8ED-4C63-4CE6-9303-C3B02A9FACEA}"/>
    <cellStyle name="Comma 26 3 5" xfId="2086" xr:uid="{B8D87B85-5172-4A2F-8D43-56EF7DEC1104}"/>
    <cellStyle name="Comma 26 3 5 2" xfId="4947" xr:uid="{49D72235-456D-4E7C-A707-C3D2DD3EC47F}"/>
    <cellStyle name="Comma 26 3 5 3" xfId="3865" xr:uid="{C54058BE-9B16-4A7D-A08B-7A83CB282543}"/>
    <cellStyle name="Comma 26 3 6" xfId="4474" xr:uid="{39FA5789-CA3D-490F-B229-AD212937B702}"/>
    <cellStyle name="Comma 26 3 7" xfId="4063" xr:uid="{C881CC41-908B-4502-A7BC-4C9589ED6342}"/>
    <cellStyle name="Comma 26 3 8" xfId="3049" xr:uid="{E4741EBD-45FA-4D1F-AA00-62D7DEC4F6D7}"/>
    <cellStyle name="Comma 26 3 9" xfId="5034" xr:uid="{E2C882CB-529B-42DA-9ECD-ADD12BD887D4}"/>
    <cellStyle name="Comma 26 4" xfId="1551" xr:uid="{CD26F9D0-03A4-4B38-BBF0-EF771C6B3F6C}"/>
    <cellStyle name="Comma 26 4 2" xfId="2271" xr:uid="{E4D68646-B8D3-4CB5-ACB0-F379F251B74F}"/>
    <cellStyle name="Comma 26 4 2 2" xfId="2500" xr:uid="{B99F14BA-AB14-47FD-A4E8-108DAD7A694A}"/>
    <cellStyle name="Comma 26 4 2 2 2" xfId="4585" xr:uid="{DD407CFB-B0C5-4997-8829-03C72482B134}"/>
    <cellStyle name="Comma 26 4 2 3" xfId="3177" xr:uid="{85185F31-BABE-4E00-9809-A1F457E51973}"/>
    <cellStyle name="Comma 26 4 2 4" xfId="5704" xr:uid="{567A60EB-F863-403A-B53C-76739D2102B7}"/>
    <cellStyle name="Comma 26 4 3" xfId="2405" xr:uid="{CA56CF5B-31CA-4D63-9EDB-ACAB48AC95E1}"/>
    <cellStyle name="Comma 26 4 3 2" xfId="4805" xr:uid="{D05F171D-5E69-43EF-82B9-C377F4FD48B8}"/>
    <cellStyle name="Comma 26 4 3 3" xfId="3584" xr:uid="{167387F6-2BF5-46D8-9F05-DAA139D1F3BA}"/>
    <cellStyle name="Comma 26 4 3 4" xfId="5550" xr:uid="{1261C9F0-A654-4793-B9B9-C3A66C44F6E0}"/>
    <cellStyle name="Comma 26 4 4" xfId="2746" xr:uid="{8E950659-1258-42D4-B959-3B3AF8B9B675}"/>
    <cellStyle name="Comma 26 4 4 2" xfId="4954" xr:uid="{416AB263-1505-40E6-8126-7290E6F4DCA8}"/>
    <cellStyle name="Comma 26 4 4 3" xfId="3892" xr:uid="{FE862288-16F4-418B-A1D2-6F130FCC962E}"/>
    <cellStyle name="Comma 26 4 5" xfId="2137" xr:uid="{1191D234-1DD7-4BEB-8AD4-2D90D12389B9}"/>
    <cellStyle name="Comma 26 4 5 2" xfId="4503" xr:uid="{2FC600E4-4C58-449E-8062-0E93A0F114A9}"/>
    <cellStyle name="Comma 26 4 6" xfId="4198" xr:uid="{96D62E22-2B1D-4A35-A132-BEC08CAF2B2C}"/>
    <cellStyle name="Comma 26 4 7" xfId="3082" xr:uid="{4DAFD931-58F8-4895-BC1A-C46C535FC53C}"/>
    <cellStyle name="Comma 26 5" xfId="1738" xr:uid="{87CBC711-BF5D-42C5-B15E-1DBE0EF09C11}"/>
    <cellStyle name="Comma 26 5 2" xfId="2127" xr:uid="{EED049CE-49FC-4E2E-8F38-9C2AD55DDA00}"/>
    <cellStyle name="Comma 26 5 2 2" xfId="4540" xr:uid="{85B610CB-727D-43B2-8EF0-E16929989E26}"/>
    <cellStyle name="Comma 26 5 2 2 2" xfId="5985" xr:uid="{B4DD8BCA-7D85-4C71-A97F-38ABF40FFDAA}"/>
    <cellStyle name="Comma 26 5 3" xfId="4294" xr:uid="{635EE891-BB30-41FC-8539-CBC334B639B8}"/>
    <cellStyle name="Comma 26 5 3 2" xfId="5904" xr:uid="{E1463E5E-9F6E-4F1B-B4D7-6B153F78089B}"/>
    <cellStyle name="Comma 26 5 4" xfId="3132" xr:uid="{C073C1A9-0E5F-4C05-A124-1CA629AAC3CE}"/>
    <cellStyle name="Comma 26 6" xfId="1893" xr:uid="{9AB04789-CB4E-4495-B29C-8CA6A7CE79C3}"/>
    <cellStyle name="Comma 26 6 2" xfId="2457" xr:uid="{ECCCCA90-0F51-49FA-822F-34CAF0D8A8AB}"/>
    <cellStyle name="Comma 26 6 2 2" xfId="4743" xr:uid="{D76B4899-42EF-42BE-A432-AEE16EF96DAE}"/>
    <cellStyle name="Comma 26 6 2 2 2" xfId="6989" xr:uid="{31026ED5-8C50-4D89-AD00-BDE0DE3E258E}"/>
    <cellStyle name="Comma 26 6 2 3" xfId="6709" xr:uid="{C9800DBC-950C-41FB-93AF-CC912DFE75F3}"/>
    <cellStyle name="Comma 26 6 3" xfId="2971" xr:uid="{F4371946-9E79-45A7-9EC0-8C849D02DD5D}"/>
    <cellStyle name="Comma 26 6 3 2" xfId="4392" xr:uid="{AAF6822A-8F1A-48C2-B05B-7A10E25E6DF7}"/>
    <cellStyle name="Comma 26 6 3 2 2" xfId="6936" xr:uid="{D9CFF5B1-C9CD-4018-8E87-56234F522669}"/>
    <cellStyle name="Comma 26 6 3 3" xfId="6525" xr:uid="{B0035D83-8ECF-4A36-B77D-5F889B6A5C3D}"/>
    <cellStyle name="Comma 26 6 4" xfId="2226" xr:uid="{2BD2D158-D2F5-4ABE-9FDC-0D5E8B8160B4}"/>
    <cellStyle name="Comma 26 6 5" xfId="3458" xr:uid="{BE178EDA-4C5D-4CB5-BC97-C47699E74C97}"/>
    <cellStyle name="Comma 26 6 6" xfId="5208" xr:uid="{71948C40-A03A-4951-B504-B2A19EFEF88D}"/>
    <cellStyle name="Comma 26 7" xfId="2023" xr:uid="{87104B08-E7D5-40AB-94A8-B5E2CF4E869D}"/>
    <cellStyle name="Comma 26 7 2" xfId="2547" xr:uid="{E23C6460-F611-4C97-8FBC-C349598AFA4E}"/>
    <cellStyle name="Comma 26 7 2 2" xfId="4671" xr:uid="{7497BDB2-C7E1-4409-A6D0-735277AFFA78}"/>
    <cellStyle name="Comma 26 7 2 2 2" xfId="6950" xr:uid="{C2F9A66C-6322-4670-9ABA-3C03666E7B2E}"/>
    <cellStyle name="Comma 26 7 2 3" xfId="5937" xr:uid="{DF4FE51A-D3B8-42C3-AFFA-4F9B45F82A14}"/>
    <cellStyle name="Comma 26 7 3" xfId="2336" xr:uid="{475C5A70-D181-48DB-BA3B-9F2809220F13}"/>
    <cellStyle name="Comma 26 7 3 2" xfId="6560" xr:uid="{48A687CB-DA2C-41F1-92CE-7E855A95B564}"/>
    <cellStyle name="Comma 26 7 4" xfId="3262" xr:uid="{786E1677-A6B9-4FBC-999A-9C0A776ABCCD}"/>
    <cellStyle name="Comma 26 7 5" xfId="5642" xr:uid="{43E64273-7770-4E0B-9447-E92B6CB8F22B}"/>
    <cellStyle name="Comma 26 8" xfId="2357" xr:uid="{9CE7E0BE-1067-4E43-B3A4-CE19DDBD4425}"/>
    <cellStyle name="Comma 26 8 2" xfId="4939" xr:uid="{629DA2EE-9E08-47EA-B005-7CD2914377FD}"/>
    <cellStyle name="Comma 26 8 2 2" xfId="6893" xr:uid="{A3FD24D3-826D-4046-BFCF-97143B738FD6}"/>
    <cellStyle name="Comma 26 8 3" xfId="3844" xr:uid="{6398595F-9287-4387-BE6C-E711402711DE}"/>
    <cellStyle name="Comma 26 9" xfId="2592" xr:uid="{0D8FDF7D-6501-4AA2-88D3-BCEC2E4BC2E1}"/>
    <cellStyle name="Comma 26 9 2" xfId="4442" xr:uid="{7A6D5827-5848-41FF-A7C3-D12027706DDC}"/>
    <cellStyle name="Comma 26 9 3" xfId="6074" xr:uid="{F9ADD24D-93F6-4A1B-ADA3-5B705159A818}"/>
    <cellStyle name="Comma 27" xfId="304" xr:uid="{67538FF9-148B-4C07-B961-A28561827BC9}"/>
    <cellStyle name="Comma 27 10" xfId="3034" xr:uid="{58937567-8B0A-4AC7-8A25-7661CE5B06A8}"/>
    <cellStyle name="Comma 27 10 2" xfId="5930" xr:uid="{E2FB2442-AD6C-4C5B-A771-8EC56692BA30}"/>
    <cellStyle name="Comma 27 10 2 2" xfId="6947" xr:uid="{BF72FC35-E094-4F91-82E1-3B924C39DFB9}"/>
    <cellStyle name="Comma 27 10 3" xfId="6554" xr:uid="{83C82DA7-0985-4D46-AA76-5CA6C166D56E}"/>
    <cellStyle name="Comma 27 10 4" xfId="5619" xr:uid="{2B99F328-C650-4858-AAE6-8B3FC9EB9334}"/>
    <cellStyle name="Comma 27 11" xfId="5007" xr:uid="{21E86468-6501-4303-ADB7-1AC40F7CE7F2}"/>
    <cellStyle name="Comma 27 11 2" xfId="5855" xr:uid="{FA728085-8148-4656-ADD3-770DA0C9A6E3}"/>
    <cellStyle name="Comma 27 11 2 2" xfId="6894" xr:uid="{A6CB18D1-096C-4265-AFCC-A5853DFEA2A2}"/>
    <cellStyle name="Comma 27 11 3" xfId="6347" xr:uid="{B6F6D071-68F5-4A9B-B796-B39207E021A4}"/>
    <cellStyle name="Comma 27 11 4" xfId="5497" xr:uid="{842DD042-64AD-4D4D-9DFF-1E827E0A9BE6}"/>
    <cellStyle name="Comma 27 12" xfId="5257" xr:uid="{E798B3F0-76EF-43ED-BCFC-B83FC265F4DA}"/>
    <cellStyle name="Comma 27 13" xfId="1014" xr:uid="{CD9F2457-1944-4F61-8D61-F1F66532949E}"/>
    <cellStyle name="Comma 27 2" xfId="1033" xr:uid="{8D6F6419-F6F1-443F-AF3F-D2058A468C04}"/>
    <cellStyle name="Comma 27 2 10" xfId="5015" xr:uid="{96C70526-775C-4E2C-ACDB-AD795F63E1A3}"/>
    <cellStyle name="Comma 27 2 11" xfId="5269" xr:uid="{41A61347-072B-406D-BB1E-6E7D8A203CD1}"/>
    <cellStyle name="Comma 27 2 2" xfId="1172" xr:uid="{BB40F90B-21D8-4024-88BC-C1F462AA6161}"/>
    <cellStyle name="Comma 27 2 2 2" xfId="1851" xr:uid="{DFF801F6-2DF5-4871-AD1F-2B6C34951DA1}"/>
    <cellStyle name="Comma 27 2 2 2 2" xfId="2523" xr:uid="{FF0016F6-413F-44E0-A61A-0C3F75F87077}"/>
    <cellStyle name="Comma 27 2 2 2 2 2" xfId="4612" xr:uid="{65F938FD-D373-4949-B3F9-CAE310D69C6D}"/>
    <cellStyle name="Comma 27 2 2 2 2 2 2" xfId="6871" xr:uid="{2865C3A7-AC3E-44C9-8355-59DCBECBFD45}"/>
    <cellStyle name="Comma 27 2 2 2 2 3" xfId="6323" xr:uid="{45BA8EDF-B77D-4CA5-BF69-1D9470CC783D}"/>
    <cellStyle name="Comma 27 2 2 2 3" xfId="2938" xr:uid="{68DA87E5-38F8-49FD-93B2-FBC4C9E053A2}"/>
    <cellStyle name="Comma 27 2 2 2 3 2" xfId="4360" xr:uid="{88C508F9-E17A-447F-94D6-E09D019B121E}"/>
    <cellStyle name="Comma 27 2 2 2 4" xfId="2294" xr:uid="{A0A6D08B-683D-4611-99AB-CDE30DAC9CAF}"/>
    <cellStyle name="Comma 27 2 2 2 4 2" xfId="6500" xr:uid="{F3B7AD2A-D676-47DC-AAE2-C10D482E9CF7}"/>
    <cellStyle name="Comma 27 2 2 2 4 3" xfId="5599" xr:uid="{711CB9B7-3870-400D-8BAD-8CB7FF47232C}"/>
    <cellStyle name="Comma 27 2 2 2 5" xfId="3204" xr:uid="{8801EBA3-A324-451B-927C-2C0564C5FC9B}"/>
    <cellStyle name="Comma 27 2 2 2 5 2" xfId="6160" xr:uid="{D83CB4D1-86A9-46B4-8358-9384CA87B6AF}"/>
    <cellStyle name="Comma 27 2 2 2 6" xfId="5176" xr:uid="{24CF4C13-3F26-41D0-98E5-4617805CD812}"/>
    <cellStyle name="Comma 27 2 2 3" xfId="1801" xr:uid="{EC78EA2C-2FFE-4901-AFA3-7A7BAAD332D8}"/>
    <cellStyle name="Comma 27 2 2 3 2" xfId="2890" xr:uid="{6220F52D-200B-4805-81F2-B3F68C75A64C}"/>
    <cellStyle name="Comma 27 2 2 3 2 2" xfId="4832" xr:uid="{56A3C4D5-621B-4E2C-BF30-25061F25CBAC}"/>
    <cellStyle name="Comma 27 2 2 3 2 2 2" xfId="6828" xr:uid="{DC893F81-8588-4C65-9618-4B87E7BA14C2}"/>
    <cellStyle name="Comma 27 2 2 3 2 3" xfId="6287" xr:uid="{C61B092B-F92A-4099-A895-4CF3A7FBF095}"/>
    <cellStyle name="Comma 27 2 2 3 3" xfId="2428" xr:uid="{DC7B6314-45E0-4931-BCA3-D82B5850407D}"/>
    <cellStyle name="Comma 27 2 2 3 3 2" xfId="4324" xr:uid="{A3BE1A69-9087-4BFF-BD52-FA85F60A95C5}"/>
    <cellStyle name="Comma 27 2 2 3 4" xfId="3611" xr:uid="{A964DBFE-A01E-4BAA-A93C-95D56A8E5477}"/>
    <cellStyle name="Comma 27 2 2 3 4 2" xfId="6461" xr:uid="{06EDAFC1-8CB3-4D28-801E-75AE7250113E}"/>
    <cellStyle name="Comma 27 2 2 3 5" xfId="5129" xr:uid="{7F887D36-B901-4880-9AC2-5B19793F16A3}"/>
    <cellStyle name="Comma 27 2 2 4" xfId="2666" xr:uid="{16ED74FA-7446-44E0-8EF9-F25C749B33A0}"/>
    <cellStyle name="Comma 27 2 2 4 2" xfId="4964" xr:uid="{DBC5BCC3-995C-4E92-BD32-DEBF3C42862F}"/>
    <cellStyle name="Comma 27 2 2 4 2 2" xfId="6744" xr:uid="{8782AFEA-EF17-4727-BB89-8CB3E43E9F57}"/>
    <cellStyle name="Comma 27 2 2 4 3" xfId="3919" xr:uid="{BAB3AE79-CCBD-4472-8826-0D620221EA59}"/>
    <cellStyle name="Comma 27 2 2 5" xfId="2167" xr:uid="{1400F29F-36AC-4CAA-B9E0-8ACBB05278AE}"/>
    <cellStyle name="Comma 27 2 2 5 2" xfId="4519" xr:uid="{BBE15A44-DF2B-4467-8707-E0DB3F7E1C1E}"/>
    <cellStyle name="Comma 27 2 2 6" xfId="4074" xr:uid="{D10BD3AA-38E9-456A-8A0E-C6C287CADB32}"/>
    <cellStyle name="Comma 27 2 2 6 2" xfId="6377" xr:uid="{FECD08B7-1741-4AF3-B257-9AA3E2403973}"/>
    <cellStyle name="Comma 27 2 2 7" xfId="3109" xr:uid="{6EBFE210-D45E-483F-A7B2-E2D4AD42F996}"/>
    <cellStyle name="Comma 27 2 2 7 2" xfId="6091" xr:uid="{8BB88B9B-38A6-4796-92A2-DBB671B00B3E}"/>
    <cellStyle name="Comma 27 2 2 8" xfId="5044" xr:uid="{2C2BAA3C-CA33-4025-AECE-4FD46DE032F8}"/>
    <cellStyle name="Comma 27 2 3" xfId="1818" xr:uid="{6FEA03CB-4A82-47DE-A8C0-A38B86B2F6CE}"/>
    <cellStyle name="Comma 27 2 3 2" xfId="1867" xr:uid="{83CCCB28-1482-4CFC-921D-E73F43F03558}"/>
    <cellStyle name="Comma 27 2 3 2 2" xfId="2954" xr:uid="{DB03C4B5-A4B6-41CD-9C52-F53B59BA4220}"/>
    <cellStyle name="Comma 27 2 3 2 2 2" xfId="5848" xr:uid="{9EC08D40-4A43-49F3-AE22-36BF5575046E}"/>
    <cellStyle name="Comma 27 2 3 2 2 2 2" xfId="6887" xr:uid="{0B06C74C-4CB4-40A3-8719-71D3C2D271C2}"/>
    <cellStyle name="Comma 27 2 3 2 2 3" xfId="6337" xr:uid="{898A0789-F32E-46AB-A62F-A77250C77D7C}"/>
    <cellStyle name="Comma 27 2 3 2 3" xfId="2484" xr:uid="{CF41BC64-3CD7-4085-B631-2BCAB5EBF0AA}"/>
    <cellStyle name="Comma 27 2 3 2 3 2" xfId="6687" xr:uid="{239EEBA8-56E9-4586-B62F-2461CA2864CD}"/>
    <cellStyle name="Comma 27 2 3 2 3 3" xfId="5723" xr:uid="{0EAB2BB5-4BD2-45B2-9724-29C0C3097966}"/>
    <cellStyle name="Comma 27 2 3 2 4" xfId="4374" xr:uid="{8E80A71F-4DDF-48E1-93D8-0F433192DE82}"/>
    <cellStyle name="Comma 27 2 3 2 4 2" xfId="6515" xr:uid="{7A7ADDB9-A51C-433B-8A58-9665E9FCBC99}"/>
    <cellStyle name="Comma 27 2 3 2 5" xfId="5192" xr:uid="{A0A7790C-8097-43AA-B572-64908C5D3649}"/>
    <cellStyle name="Comma 27 2 3 3" xfId="2906" xr:uid="{13DE96C6-6CB9-474C-AE35-127870B54FBA}"/>
    <cellStyle name="Comma 27 2 3 3 2" xfId="4567" xr:uid="{344F8BDE-5C7E-4A3C-89FF-208F9FAD10AA}"/>
    <cellStyle name="Comma 27 2 3 3 2 2" xfId="6844" xr:uid="{6042875C-F620-46D9-AE11-53D4B5628E52}"/>
    <cellStyle name="Comma 27 2 3 3 3" xfId="6299" xr:uid="{B5178E25-A9AF-40A0-B62F-6C5EB72DE041}"/>
    <cellStyle name="Comma 27 2 3 4" xfId="2255" xr:uid="{35D6E8C4-DD1A-4C24-82CE-FE0FC488B918}"/>
    <cellStyle name="Comma 27 2 3 4 2" xfId="4336" xr:uid="{6CDE3468-22D6-45C6-85C2-D9F295D3022D}"/>
    <cellStyle name="Comma 27 2 3 5" xfId="3159" xr:uid="{332E5E4C-B892-4C16-96E9-3AF4094509FF}"/>
    <cellStyle name="Comma 27 2 3 5 2" xfId="6474" xr:uid="{81BD754B-4268-4AF9-A19E-51047916FD55}"/>
    <cellStyle name="Comma 27 2 3 5 3" xfId="5593" xr:uid="{794F9D60-7DE4-43D6-8250-9ED2368D7ABF}"/>
    <cellStyle name="Comma 27 2 3 6" xfId="5145" xr:uid="{57559195-03A8-4C19-A343-9C1A491792CF}"/>
    <cellStyle name="Comma 27 2 4" xfId="1835" xr:uid="{6980C508-69DF-4BF5-9D9F-7F092CAC1679}"/>
    <cellStyle name="Comma 27 2 4 2" xfId="2558" xr:uid="{68239B00-0DF0-4263-B449-5C89D9771B61}"/>
    <cellStyle name="Comma 27 2 4 2 2" xfId="4782" xr:uid="{8B0B99DD-34FE-402A-AF0B-46CBB746FB58}"/>
    <cellStyle name="Comma 27 2 4 2 2 2" xfId="6859" xr:uid="{7295F8DE-9FEE-4E51-AB84-A9721FE80459}"/>
    <cellStyle name="Comma 27 2 4 2 3" xfId="6312" xr:uid="{B0DF07AE-EAB4-4343-B3C7-4423865FC546}"/>
    <cellStyle name="Comma 27 2 4 3" xfId="2923" xr:uid="{2157EDC2-1548-4F57-B9AD-B4650C803E43}"/>
    <cellStyle name="Comma 27 2 4 3 2" xfId="4349" xr:uid="{454AC067-A6AA-4202-A30C-4DE5E83DE0A9}"/>
    <cellStyle name="Comma 27 2 4 4" xfId="2349" xr:uid="{452964BF-AD5B-43B3-BF63-4D1A745EDB5A}"/>
    <cellStyle name="Comma 27 2 4 4 2" xfId="6489" xr:uid="{563A90BA-B799-4F4E-B240-29FAB3D60B4A}"/>
    <cellStyle name="Comma 27 2 4 4 3" xfId="5596" xr:uid="{C87C5909-6AF9-4534-8942-C76150BBA62E}"/>
    <cellStyle name="Comma 27 2 4 5" xfId="3552" xr:uid="{195D1D29-4EEE-4F88-BC12-CE201E31185B}"/>
    <cellStyle name="Comma 27 2 4 6" xfId="5161" xr:uid="{BDD76805-7579-41FB-897F-19FF2AFBE2B1}"/>
    <cellStyle name="Comma 27 2 5" xfId="1769" xr:uid="{56A5A8A5-DCC7-476F-9742-BF56C837F0A7}"/>
    <cellStyle name="Comma 27 2 5 2" xfId="2866" xr:uid="{1ED727E2-09B7-450F-A1E9-763D54BD9D5F}"/>
    <cellStyle name="Comma 27 2 5 2 2" xfId="4950" xr:uid="{B83E264B-638A-4572-B14A-C0783C1330BC}"/>
    <cellStyle name="Comma 27 2 5 2 2 2" xfId="6814" xr:uid="{31574053-0615-4D2A-9BCB-8032D89838E8}"/>
    <cellStyle name="Comma 27 2 5 2 3" xfId="6275" xr:uid="{58EE901B-94E2-4599-85D3-FEBDB672B518}"/>
    <cellStyle name="Comma 27 2 5 3" xfId="2387" xr:uid="{02182801-CA44-4917-938E-655F5B1C69DD}"/>
    <cellStyle name="Comma 27 2 5 3 2" xfId="4305" xr:uid="{720F713F-447C-4938-96A8-772BA63BD02E}"/>
    <cellStyle name="Comma 27 2 5 4" xfId="3871" xr:uid="{B0F7F548-9F04-4034-9BFA-546960D94380}"/>
    <cellStyle name="Comma 27 2 5 4 2" xfId="6447" xr:uid="{1D5D5A99-E8CA-4C25-89F0-288BADAC8B55}"/>
    <cellStyle name="Comma 27 2 5 5" xfId="5114" xr:uid="{213299E1-C4E4-4994-99D0-D351DCE0730F}"/>
    <cellStyle name="Comma 27 2 6" xfId="1903" xr:uid="{CC61787E-9BEE-4199-A75F-54DDD5F80747}"/>
    <cellStyle name="Comma 27 2 6 2" xfId="2981" xr:uid="{DFB2CFAE-4E87-4C61-B7CA-9038126EB783}"/>
    <cellStyle name="Comma 27 2 6 2 2" xfId="6002" xr:uid="{B07C5BF1-0641-4677-BA00-9CE068474CD8}"/>
    <cellStyle name="Comma 27 2 6 2 2 2" xfId="6992" xr:uid="{3F246AF0-3FEC-4828-99DA-16610D2A30CF}"/>
    <cellStyle name="Comma 27 2 6 2 3" xfId="6719" xr:uid="{CBFE2270-7DAB-4703-833B-7D6874464CAB}"/>
    <cellStyle name="Comma 27 2 6 3" xfId="4401" xr:uid="{1F39FC64-1C9A-4054-BEE2-F5D9C91EEAFD}"/>
    <cellStyle name="Comma 27 2 6 3 2" xfId="5927" xr:uid="{DC603422-09A1-4FD0-B1CF-F77D8618BE84}"/>
    <cellStyle name="Comma 27 2 6 3 2 2" xfId="6940" xr:uid="{81A38A4E-90AC-4F56-AC36-139A59CB5506}"/>
    <cellStyle name="Comma 27 2 6 3 3" xfId="6535" xr:uid="{74B0F998-AC8E-4A16-BC86-F1B168409C15}"/>
    <cellStyle name="Comma 27 2 6 4" xfId="5218" xr:uid="{E940C41C-5042-4732-AF1D-35525C5052F5}"/>
    <cellStyle name="Comma 27 2 7" xfId="2607" xr:uid="{D56C79CF-08F9-4BA0-9F1C-DAE97E85C59B}"/>
    <cellStyle name="Comma 27 2 7 2" xfId="4480" xr:uid="{750E4302-AB4B-45D7-809D-8188BE2F095D}"/>
    <cellStyle name="Comma 27 2 7 2 2" xfId="6954" xr:uid="{B52E85FC-173B-4D9D-A096-A6733F929F9F}"/>
    <cellStyle name="Comma 27 2 7 3" xfId="6568" xr:uid="{5D5BBB15-6156-454E-8DED-CB2F5AE9A485}"/>
    <cellStyle name="Comma 27 2 8" xfId="2093" xr:uid="{75611D3A-88D0-4629-9D75-57423247C6DC}"/>
    <cellStyle name="Comma 27 2 8 2" xfId="5857" xr:uid="{A4F52FE1-FF7D-472E-9A2F-DB0723B3241A}"/>
    <cellStyle name="Comma 27 2 8 2 2" xfId="6897" xr:uid="{E3CC38A9-1449-45D8-90B9-35D7061B8280}"/>
    <cellStyle name="Comma 27 2 8 3" xfId="6354" xr:uid="{3F38A87F-CE00-4637-9556-2003E56D8FF4}"/>
    <cellStyle name="Comma 27 2 8 4" xfId="5499" xr:uid="{F8257237-53B7-44DF-81D1-8D4FE05AC1C7}"/>
    <cellStyle name="Comma 27 2 9" xfId="3055" xr:uid="{6FA9EE6A-C85D-45F2-BBBE-3360D7D13104}"/>
    <cellStyle name="Comma 27 3" xfId="1118" xr:uid="{6C51D21B-0147-4B8F-8D80-AC7ECBA19E94}"/>
    <cellStyle name="Comma 27 3 2" xfId="1914" xr:uid="{04679BC2-861A-477F-8993-6ED9D203F588}"/>
    <cellStyle name="Comma 27 3 2 2" xfId="2503" xr:uid="{E86AE133-81C3-4DB1-8804-62B0E8E9FA2F}"/>
    <cellStyle name="Comma 27 3 2 2 2" xfId="4591" xr:uid="{28BCBD39-744B-4695-906C-105620EC49E6}"/>
    <cellStyle name="Comma 27 3 2 2 2 2" xfId="6994" xr:uid="{800E7C86-A4C7-4923-8DED-9E9031FA4916}"/>
    <cellStyle name="Comma 27 3 2 2 3" xfId="6726" xr:uid="{CB905AFB-7EAB-476F-A56B-7B52C8BB4ACF}"/>
    <cellStyle name="Comma 27 3 2 3" xfId="2990" xr:uid="{2F280187-CBE3-426B-A522-06B99829BF2D}"/>
    <cellStyle name="Comma 27 3 2 3 2" xfId="4407" xr:uid="{6F94981B-CFE9-47B5-99D1-669E4A92F07E}"/>
    <cellStyle name="Comma 27 3 2 3 2 2" xfId="6943" xr:uid="{C07006FD-E5AB-4FAC-971F-04341E9F0E89}"/>
    <cellStyle name="Comma 27 3 2 3 3" xfId="6543" xr:uid="{4F164B84-F7C6-4ADF-BE17-EC41F01859B8}"/>
    <cellStyle name="Comma 27 3 2 4" xfId="2274" xr:uid="{BAE1A984-286F-4A20-B195-5CF1D13B6F94}"/>
    <cellStyle name="Comma 27 3 2 5" xfId="3183" xr:uid="{4E77A1BB-8B76-496D-A05A-D14FC7DF51A9}"/>
    <cellStyle name="Comma 27 3 2 6" xfId="5227" xr:uid="{CD3FCE44-5471-408E-B33D-2C9AE80A2ACD}"/>
    <cellStyle name="Comma 27 3 2 7" xfId="5386" xr:uid="{3D1095F5-34DA-4D3F-B7D1-9C1D96AEC8A4}"/>
    <cellStyle name="Comma 27 3 3" xfId="2408" xr:uid="{88564AB4-669B-489A-9443-01E8FA02BB63}"/>
    <cellStyle name="Comma 27 3 3 2" xfId="4811" xr:uid="{A313F989-BBDA-46B9-8739-B6FC03A0597D}"/>
    <cellStyle name="Comma 27 3 3 2 2" xfId="6956" xr:uid="{E0C66CD0-D7B0-4728-BD1F-FEC0CE7ABEB6}"/>
    <cellStyle name="Comma 27 3 3 3" xfId="3590" xr:uid="{271D683D-3902-4CFC-A80B-6D847EC998B9}"/>
    <cellStyle name="Comma 27 3 4" xfId="2637" xr:uid="{62E00F53-0BC6-4895-B697-EB0BBC37419F}"/>
    <cellStyle name="Comma 27 3 4 2" xfId="4957" xr:uid="{5A81834B-0FFF-4C0A-90BF-6E98B2F0261F}"/>
    <cellStyle name="Comma 27 3 4 2 2" xfId="6900" xr:uid="{AC92E0FD-DACC-40AA-87F1-1C00084E0C91}"/>
    <cellStyle name="Comma 27 3 4 3" xfId="3898" xr:uid="{5DEF4D4E-EDBC-47FE-B222-C3E673EF1E07}"/>
    <cellStyle name="Comma 27 3 5" xfId="2141" xr:uid="{BED8E294-EFFC-4E81-AB10-E2C3851292C2}"/>
    <cellStyle name="Comma 27 3 5 2" xfId="4506" xr:uid="{77FE1AEA-FF9C-458E-AE00-05803B6F2306}"/>
    <cellStyle name="Comma 27 3 6" xfId="3088" xr:uid="{B0186DC4-1CE0-4D0D-BEE9-E5A7283FD6AF}"/>
    <cellStyle name="Comma 27 3 7" xfId="5024" xr:uid="{B4FCAB0C-4AF4-469F-BDA5-16E340E65137}"/>
    <cellStyle name="Comma 27 3 8" xfId="5328" xr:uid="{FD608D5D-545C-4220-B4F0-3CDDAF18D997}"/>
    <cellStyle name="Comma 27 4" xfId="1159" xr:uid="{9D30B187-D85F-4579-B661-1ED344E9BEA9}"/>
    <cellStyle name="Comma 27 4 2" xfId="2657" xr:uid="{0DB0007C-52AD-4132-A1F9-611387229A82}"/>
    <cellStyle name="Comma 27 4 2 2" xfId="4546" xr:uid="{02B46C21-6F1A-4743-B8DA-EAA324F22072}"/>
    <cellStyle name="Comma 27 4 2 2 2" xfId="6737" xr:uid="{D6836A7D-7EC1-443F-85F3-AB88EB52CB9D}"/>
    <cellStyle name="Comma 27 4 2 3" xfId="6198" xr:uid="{C0B5101C-8625-4E5C-A8A0-9F2D13865092}"/>
    <cellStyle name="Comma 27 4 3" xfId="2175" xr:uid="{FF4617BB-D776-415E-ACA6-0FE8B5CDDDED}"/>
    <cellStyle name="Comma 27 4 3 2" xfId="4065" xr:uid="{7162F708-5110-456A-91B7-A69B72EB291C}"/>
    <cellStyle name="Comma 27 4 4" xfId="3138" xr:uid="{9E23BF47-73DD-407E-90D7-EC1011EF6B94}"/>
    <cellStyle name="Comma 27 4 4 2" xfId="6370" xr:uid="{C1532F08-36CF-436E-953D-31EF1A42A79A}"/>
    <cellStyle name="Comma 27 4 4 3" xfId="5518" xr:uid="{A4E42275-00E9-4A8A-8B80-309F20C4C353}"/>
    <cellStyle name="Comma 27 4 5" xfId="5036" xr:uid="{8CE2B1CD-2D1E-4635-B83E-A19EF443C4B3}"/>
    <cellStyle name="Comma 27 4 6" xfId="5356" xr:uid="{9F9FC4F3-B391-4900-BED1-9895E8EFA9D3}"/>
    <cellStyle name="Comma 27 5" xfId="1559" xr:uid="{40DC35FE-2DB1-40E9-A035-433CB9EDBE30}"/>
    <cellStyle name="Comma 27 5 2" xfId="2464" xr:uid="{F7AD765B-5D35-475F-8437-789104A7AF0C}"/>
    <cellStyle name="Comma 27 5 2 2" xfId="4759" xr:uid="{0F99D3B6-360A-40E8-985D-3E7CD874D6E1}"/>
    <cellStyle name="Comma 27 5 3" xfId="2748" xr:uid="{EA1B0592-AA01-4B26-9673-DDB746FF7CEF}"/>
    <cellStyle name="Comma 27 5 4" xfId="2234" xr:uid="{0722B705-CC77-450A-B6A3-5959F016171D}"/>
    <cellStyle name="Comma 27 5 5" xfId="3516" xr:uid="{AA3CD0E5-9816-4E55-B4FA-09D1E6CBC4F1}"/>
    <cellStyle name="Comma 27 6" xfId="1745" xr:uid="{6BBF421F-2B43-4D34-8721-2AD261100800}"/>
    <cellStyle name="Comma 27 6 2" xfId="2549" xr:uid="{4CF9EFFD-7520-4B5B-A2D9-5A03ECC58406}"/>
    <cellStyle name="Comma 27 6 2 2" xfId="4666" xr:uid="{4958DF87-8262-479D-AC10-E36897984B76}"/>
    <cellStyle name="Comma 27 6 2 2 2" xfId="5988" xr:uid="{53876017-459A-4A89-BC0D-BA868DB863D5}"/>
    <cellStyle name="Comma 27 6 2 3" xfId="5717" xr:uid="{758B7343-64C3-4E61-A7DA-A4B0DB59CB74}"/>
    <cellStyle name="Comma 27 6 3" xfId="2857" xr:uid="{5FC6B1A0-9DCC-4306-A880-471BB1CB8457}"/>
    <cellStyle name="Comma 27 6 3 2" xfId="5907" xr:uid="{17549FDC-867D-4A7F-A463-C212F6531406}"/>
    <cellStyle name="Comma 27 6 4" xfId="2338" xr:uid="{D37B58CC-918C-468D-B33E-8F1F3DA05C40}"/>
    <cellStyle name="Comma 27 6 5" xfId="3260" xr:uid="{E8B4D181-90E7-4949-BDA7-94193E1AF61E}"/>
    <cellStyle name="Comma 27 7" xfId="1895" xr:uid="{99FAF120-D207-4326-BF65-DD832DF107A6}"/>
    <cellStyle name="Comma 27 7 2" xfId="2973" xr:uid="{2B28AA29-91FB-4B24-AC30-CBE05FFE86B2}"/>
    <cellStyle name="Comma 27 7 2 2" xfId="4942" xr:uid="{C7F78233-1596-4F64-9A7E-17A6A1AFC1E8}"/>
    <cellStyle name="Comma 27 7 2 2 2" xfId="6711" xr:uid="{00A07F3F-99DD-4477-A943-AC487943DFDA}"/>
    <cellStyle name="Comma 27 7 2 3" xfId="6188" xr:uid="{D0D3035E-0664-4C3D-9031-3F8674029C8F}"/>
    <cellStyle name="Comma 27 7 2 4" xfId="5462" xr:uid="{835CEABE-20E4-41B2-BC43-270639968995}"/>
    <cellStyle name="Comma 27 7 3" xfId="2367" xr:uid="{5444D338-8562-4A26-8DE3-9492A8BC18C9}"/>
    <cellStyle name="Comma 27 7 3 2" xfId="5938" xr:uid="{1B71429B-1F6A-4D3D-B598-FC8068EA53F4}"/>
    <cellStyle name="Comma 27 7 3 2 2" xfId="6951" xr:uid="{44018B9A-E974-44A2-8665-B2FC5D6207C1}"/>
    <cellStyle name="Comma 27 7 3 3" xfId="6562" xr:uid="{7A77EE33-7EE6-4836-8E44-628BCC201E8C}"/>
    <cellStyle name="Comma 27 7 3 4" xfId="5643" xr:uid="{75F7E907-3F90-4E32-964F-5FDF62612FBE}"/>
    <cellStyle name="Comma 27 7 4" xfId="3850" xr:uid="{9B823053-3952-4041-9A03-F4450D82677F}"/>
    <cellStyle name="Comma 27 7 4 2" xfId="5925" xr:uid="{3704FBEB-CDC9-4CFF-9AAD-87AE871B2C53}"/>
    <cellStyle name="Comma 27 7 4 2 2" xfId="6937" xr:uid="{7CF14DF7-205C-4278-BFFF-CC425057EB33}"/>
    <cellStyle name="Comma 27 7 4 3" xfId="6527" xr:uid="{E02E0CB6-E2D8-4E98-A864-F46759F5EE2D}"/>
    <cellStyle name="Comma 27 7 5" xfId="5210" xr:uid="{174AAF6B-55A4-4366-A09D-2B86F0507E81}"/>
    <cellStyle name="Comma 27 8" xfId="2594" xr:uid="{20F1D379-E3F1-49E1-9BBE-1EDA60C016D0}"/>
    <cellStyle name="Comma 27 8 2" xfId="4458" xr:uid="{01D0E061-56D7-46A1-B542-2B1BB02DC1BE}"/>
    <cellStyle name="Comma 27 8 2 2" xfId="6696" xr:uid="{E47EDCA3-7E27-4B2C-8373-6B7A926CFC6F}"/>
    <cellStyle name="Comma 27 8 3" xfId="6174" xr:uid="{A7C4C105-F766-4926-AB42-545FF3C6E1FB}"/>
    <cellStyle name="Comma 27 8 4" xfId="5449" xr:uid="{0AF13F2E-2323-4E4B-9DD9-1CF0AA86F7BC}"/>
    <cellStyle name="Comma 27 9" xfId="2071" xr:uid="{2675643C-91DF-44FB-B7AA-0FD139272982}"/>
    <cellStyle name="Comma 27 9 2" xfId="5735" xr:uid="{AB8232A6-5DB9-4559-8C3F-89DEC0BC1D2A}"/>
    <cellStyle name="Comma 27 9 2 2" xfId="6702" xr:uid="{1EC09BCE-0E1F-416D-B554-BB156BD6D1B6}"/>
    <cellStyle name="Comma 27 9 3" xfId="6180" xr:uid="{2E1EB110-A950-4309-87EB-245337F1B8D3}"/>
    <cellStyle name="Comma 28" xfId="305" xr:uid="{319A96E2-5BC9-47AE-BB48-8BEE2AAC447E}"/>
    <cellStyle name="Comma 28 10" xfId="5011" xr:uid="{C97AA622-0786-459B-A82F-B8EC9FDEC01A}"/>
    <cellStyle name="Comma 28 11" xfId="1019" xr:uid="{BBDF759F-AF4E-452A-BB88-36A7AC3EC78A}"/>
    <cellStyle name="Comma 28 2" xfId="1122" xr:uid="{AB0386ED-706C-481C-A866-E0044D695017}"/>
    <cellStyle name="Comma 28 2 2" xfId="1918" xr:uid="{BF32CA1F-CCAF-44CE-8933-CE85858565A8}"/>
    <cellStyle name="Comma 28 2 2 2" xfId="2283" xr:uid="{9BCC097C-E95C-4623-B057-84F51256BE44}"/>
    <cellStyle name="Comma 28 2 2 2 2" xfId="2512" xr:uid="{535E667B-C5A6-419D-94C1-A4818A437CD4}"/>
    <cellStyle name="Comma 28 2 2 2 2 2" xfId="4617" xr:uid="{E82CC52A-E166-47EC-8EAA-15F46FF0700D}"/>
    <cellStyle name="Comma 28 2 2 2 3" xfId="3209" xr:uid="{9FDDB8A1-CE5A-4CB4-8CC6-FE8A0B514085}"/>
    <cellStyle name="Comma 28 2 2 2 3 2" xfId="6730" xr:uid="{E09DADBA-9156-47B7-9A21-0B534A51A568}"/>
    <cellStyle name="Comma 28 2 2 3" xfId="2417" xr:uid="{7510691C-51D8-442D-B81F-67A5CE9B4B63}"/>
    <cellStyle name="Comma 28 2 2 3 2" xfId="4837" xr:uid="{DE3C4AEB-3DB2-4682-921B-38D261433FCA}"/>
    <cellStyle name="Comma 28 2 2 3 2 2" xfId="6944" xr:uid="{29D349CF-FB2B-4E12-B3CD-92D0485F0221}"/>
    <cellStyle name="Comma 28 2 2 3 3" xfId="3616" xr:uid="{2ECAEC73-598C-43BE-8857-46338789CD9B}"/>
    <cellStyle name="Comma 28 2 2 4" xfId="2994" xr:uid="{81B0FCA8-E5B2-4E53-903B-3AD84B5AF30F}"/>
    <cellStyle name="Comma 28 2 2 4 2" xfId="4965" xr:uid="{E4488086-79FC-487F-9F38-CBE0E218555F}"/>
    <cellStyle name="Comma 28 2 2 4 3" xfId="3924" xr:uid="{84C9358D-29F3-4201-898C-C26452E4675E}"/>
    <cellStyle name="Comma 28 2 2 4 4" xfId="6193" xr:uid="{8BF1C229-CE50-41E3-995E-3B70A3643A4D}"/>
    <cellStyle name="Comma 28 2 2 5" xfId="2156" xr:uid="{A44F65A9-ABDB-4048-AD11-F91F25A88503}"/>
    <cellStyle name="Comma 28 2 2 5 2" xfId="4522" xr:uid="{7CFCAFDE-019C-4039-8812-13CF4D4532A1}"/>
    <cellStyle name="Comma 28 2 2 6" xfId="3114" xr:uid="{D15C2ABC-C36A-4E9B-84C8-87A5091E41C3}"/>
    <cellStyle name="Comma 28 2 2 7" xfId="5231" xr:uid="{2C91A8A1-2CDB-425A-BF0A-546EF9163EE1}"/>
    <cellStyle name="Comma 28 2 3" xfId="2260" xr:uid="{FD50F27D-F8DC-4201-9D8A-8E87028B85C5}"/>
    <cellStyle name="Comma 28 2 3 2" xfId="2489" xr:uid="{1E8B31BD-C116-45BC-BD24-3146DDE18AA8}"/>
    <cellStyle name="Comma 28 2 3 2 2" xfId="4572" xr:uid="{EA7475A7-D34D-41D0-A1D0-8A8C97297981}"/>
    <cellStyle name="Comma 28 2 3 3" xfId="3164" xr:uid="{960F6E2B-0E4B-442B-9934-2E5D2C18DD4F}"/>
    <cellStyle name="Comma 28 2 3 3 2" xfId="6575" xr:uid="{38902457-4B72-4B6A-A975-137C0F959B81}"/>
    <cellStyle name="Comma 28 2 4" xfId="2392" xr:uid="{D54D6E29-1BBF-4D05-9474-E654B84779A6}"/>
    <cellStyle name="Comma 28 2 4 2" xfId="4787" xr:uid="{1F63B8AF-437F-4C94-8D35-B2AC76082960}"/>
    <cellStyle name="Comma 28 2 4 2 2" xfId="6901" xr:uid="{13388008-539F-4E27-B52F-7C66D26DBE25}"/>
    <cellStyle name="Comma 28 2 4 3" xfId="3557" xr:uid="{295CD3CB-1AEB-429E-ACF5-82E0F2975A8D}"/>
    <cellStyle name="Comma 28 2 5" xfId="2641" xr:uid="{E3339AA8-6324-4FFB-9D0F-CB841818A6B2}"/>
    <cellStyle name="Comma 28 2 5 2" xfId="4951" xr:uid="{7FC5D5D3-0EB2-4C7B-AB1B-60E96C2D0AA8}"/>
    <cellStyle name="Comma 28 2 5 3" xfId="3876" xr:uid="{009D46EC-6EEC-4318-823F-2E8D1A7E91F0}"/>
    <cellStyle name="Comma 28 2 5 4" xfId="6083" xr:uid="{F1BA4102-CF55-4BEF-8527-5017CB9DD0C2}"/>
    <cellStyle name="Comma 28 2 6" xfId="2098" xr:uid="{5C1265E7-AD8A-4989-8C36-6FD4D97A11AA}"/>
    <cellStyle name="Comma 28 2 6 2" xfId="4483" xr:uid="{D4033A07-D0BC-473A-BA6C-746EB0538F19}"/>
    <cellStyle name="Comma 28 2 7" xfId="3060" xr:uid="{CAF1C510-D27B-48ED-9CF6-A85D5D0079CC}"/>
    <cellStyle name="Comma 28 2 8" xfId="5028" xr:uid="{8DA98DD1-BD50-4D99-ACD4-12F05405EADC}"/>
    <cellStyle name="Comma 28 3" xfId="1163" xr:uid="{ECE317D2-865D-4BEE-AD09-E1D7E4D5686E}"/>
    <cellStyle name="Comma 28 3 2" xfId="2278" xr:uid="{954CE827-7B42-4AA1-B7BB-C8B2BB21B041}"/>
    <cellStyle name="Comma 28 3 2 2" xfId="2507" xr:uid="{5291F9C1-E25F-4329-BA71-D0396ED3DEDE}"/>
    <cellStyle name="Comma 28 3 2 2 2" xfId="4596" xr:uid="{99D85D2B-BBFB-454F-A6EB-350ECC7AFCE1}"/>
    <cellStyle name="Comma 28 3 2 3" xfId="3188" xr:uid="{FB4F3CAF-26BA-4DB4-9526-EB689EC523FE}"/>
    <cellStyle name="Comma 28 3 2 3 2" xfId="6202" xr:uid="{532B5275-239D-40E1-AF4C-F796C11321C5}"/>
    <cellStyle name="Comma 28 3 3" xfId="2412" xr:uid="{6EC5DCCF-896A-4E61-87A8-DA84A3115E7D}"/>
    <cellStyle name="Comma 28 3 3 2" xfId="4816" xr:uid="{18E246F1-8FE2-4711-866F-B296C4668E5D}"/>
    <cellStyle name="Comma 28 3 3 3" xfId="3595" xr:uid="{36FDD44A-4E54-4BBD-BBB8-686F5ED28870}"/>
    <cellStyle name="Comma 28 3 4" xfId="2661" xr:uid="{302703CB-BDCD-4BF0-AD38-F460FC7F967F}"/>
    <cellStyle name="Comma 28 3 4 2" xfId="4958" xr:uid="{E427B0CC-A000-48AF-915B-E9AB5B4830CE}"/>
    <cellStyle name="Comma 28 3 4 3" xfId="3903" xr:uid="{E0B22CEE-F02D-486A-97A4-F8AEA10980AD}"/>
    <cellStyle name="Comma 28 3 5" xfId="2147" xr:uid="{86AF0043-DB29-47EA-9506-130F37A1359C}"/>
    <cellStyle name="Comma 28 3 5 2" xfId="4509" xr:uid="{7E27CDD7-E04A-4BD8-BE50-89F87A5684C4}"/>
    <cellStyle name="Comma 28 3 6" xfId="4069" xr:uid="{0EAD3B38-BC00-47CA-9566-8DA81AD2A397}"/>
    <cellStyle name="Comma 28 3 7" xfId="3093" xr:uid="{E9A36D18-7F85-4491-AE1E-3D2D60ADA0A5}"/>
    <cellStyle name="Comma 28 3 8" xfId="5040" xr:uid="{749C8AB7-24EA-4D1A-9EF6-DDF1A2C9C87A}"/>
    <cellStyle name="Comma 28 4" xfId="1560" xr:uid="{EEDBE38F-1FFE-4EA7-B16B-324098A48444}"/>
    <cellStyle name="Comma 28 4 2" xfId="2469" xr:uid="{D81317BE-176F-4331-AF30-063DA99EAC2F}"/>
    <cellStyle name="Comma 28 4 2 2" xfId="4551" xr:uid="{ED06CA71-98BB-4B56-9005-DD19296EB2FB}"/>
    <cellStyle name="Comma 28 4 2 3" xfId="5705" xr:uid="{1441AFDC-2D25-4968-80AF-89E574E6B491}"/>
    <cellStyle name="Comma 28 4 3" xfId="2749" xr:uid="{051565B2-1C28-4F2F-9861-355AE51A2709}"/>
    <cellStyle name="Comma 28 4 4" xfId="2239" xr:uid="{F9BA2C78-2AD2-42C0-B36A-B4DE642E60A7}"/>
    <cellStyle name="Comma 28 4 5" xfId="3143" xr:uid="{9F77BE67-FC46-4011-B9F0-83DA563D72D0}"/>
    <cellStyle name="Comma 28 5" xfId="1754" xr:uid="{FF83F55F-AB90-49A1-B4D1-E3D69D6220E8}"/>
    <cellStyle name="Comma 28 5 2" xfId="2553" xr:uid="{00A9BC64-CB44-403F-A13C-F03C7598D29B}"/>
    <cellStyle name="Comma 28 5 2 2" xfId="4764" xr:uid="{8EE0F4D6-2252-4E4D-8569-AACC7F0DBE6D}"/>
    <cellStyle name="Comma 28 5 2 2 2" xfId="5989" xr:uid="{FE702D05-E371-459B-A90A-0BC0D1717A7E}"/>
    <cellStyle name="Comma 28 5 2 3" xfId="5718" xr:uid="{940EDA42-5C85-4BDA-A092-A97FD18B6664}"/>
    <cellStyle name="Comma 28 5 3" xfId="2859" xr:uid="{65AE9449-8156-44DC-AC4F-F52CEC064751}"/>
    <cellStyle name="Comma 28 5 3 2" xfId="5908" xr:uid="{56264E9F-E868-43FC-994E-9902CED805F6}"/>
    <cellStyle name="Comma 28 5 4" xfId="2342" xr:uid="{6B2814AF-34D0-42B7-8008-698CD0A5F951}"/>
    <cellStyle name="Comma 28 5 5" xfId="3521" xr:uid="{AD8EFA31-EE7B-43E1-B0B6-4AE86A7B2431}"/>
    <cellStyle name="Comma 28 6" xfId="1899" xr:uid="{40A5DA9D-894C-42C3-9944-E015E20E7127}"/>
    <cellStyle name="Comma 28 6 2" xfId="2977" xr:uid="{B578E36D-94DE-426E-8964-023587223B79}"/>
    <cellStyle name="Comma 28 6 2 2" xfId="4660" xr:uid="{6F889B1E-BCB3-4F3A-A942-6FA951F40D04}"/>
    <cellStyle name="Comma 28 6 2 2 2" xfId="6990" xr:uid="{FDACFBCE-0FF8-4E18-B28D-2BD895CF227B}"/>
    <cellStyle name="Comma 28 6 2 2 3" xfId="6000" xr:uid="{3AB9B5A9-C0FB-4803-BB86-061E61DAF323}"/>
    <cellStyle name="Comma 28 6 2 3" xfId="6715" xr:uid="{1E01A412-598A-4290-A386-5EEFD880AD75}"/>
    <cellStyle name="Comma 28 6 3" xfId="2372" xr:uid="{EFBE83E5-18B0-4D6A-9E76-2DEF735EFDA3}"/>
    <cellStyle name="Comma 28 6 3 2" xfId="4397" xr:uid="{6CFF2DB3-1A3D-4368-8A5A-97AC20702BAD}"/>
    <cellStyle name="Comma 28 6 3 2 2" xfId="6938" xr:uid="{21C6A92D-4603-4C8F-ADD4-66AA4ADF3C2C}"/>
    <cellStyle name="Comma 28 6 3 3" xfId="6531" xr:uid="{08A624B7-C717-489B-9498-FC6167D0065A}"/>
    <cellStyle name="Comma 28 6 4" xfId="3256" xr:uid="{59B49574-D05B-4416-8D11-6264A764EE63}"/>
    <cellStyle name="Comma 28 6 4 2" xfId="6190" xr:uid="{BE82C799-FE20-41B8-854B-A82378AE7BD4}"/>
    <cellStyle name="Comma 28 6 5" xfId="5214" xr:uid="{B948AD74-C165-4B96-968B-241617305B40}"/>
    <cellStyle name="Comma 28 7" xfId="2598" xr:uid="{2EAB2529-7F99-4BA0-B926-FBD1ED7F72EC}"/>
    <cellStyle name="Comma 28 7 2" xfId="4943" xr:uid="{86C61450-4038-4D13-87C9-9395C204F0DD}"/>
    <cellStyle name="Comma 28 7 2 2" xfId="6952" xr:uid="{BC998DA6-99AF-4C7D-B12A-B2CE6124811B}"/>
    <cellStyle name="Comma 28 7 3" xfId="3855" xr:uid="{6754D512-0A6D-4D85-A718-2D29F3DEFF83}"/>
    <cellStyle name="Comma 28 8" xfId="2076" xr:uid="{9877B3E4-2F38-46DE-B158-E39FBD776700}"/>
    <cellStyle name="Comma 28 8 2" xfId="4463" xr:uid="{A7CBAA4A-5966-498B-A73A-9DAC9685EA02}"/>
    <cellStyle name="Comma 28 8 2 2" xfId="6895" xr:uid="{409148C6-C754-4152-AF79-2638D44D6C2F}"/>
    <cellStyle name="Comma 28 8 3" xfId="6350" xr:uid="{7050C99D-1089-43B4-901B-377A8859AB27}"/>
    <cellStyle name="Comma 28 9" xfId="3039" xr:uid="{E7D7D824-D1E3-4ACE-8EBC-F5E571C1ED9B}"/>
    <cellStyle name="Comma 29" xfId="306" xr:uid="{207AD98D-A920-40AD-B574-D2FE5D40B44E}"/>
    <cellStyle name="Comma 29 10" xfId="5018" xr:uid="{767117A7-3BE9-4E8F-806E-55E40328D5CB}"/>
    <cellStyle name="Comma 29 11" xfId="5253" xr:uid="{48EA5FE7-C0E2-42AD-8EC7-CDF07F427A98}"/>
    <cellStyle name="Comma 29 12" xfId="1037" xr:uid="{12229F6E-EF94-4CB4-AFB4-BE31A6DB97CB}"/>
    <cellStyle name="Comma 29 2" xfId="1561" xr:uid="{006E7CA5-FA6E-45BE-862F-7E12A8007B84}"/>
    <cellStyle name="Comma 29 2 2" xfId="1854" xr:uid="{0B839918-49D2-4BF0-8EF3-70E31D06F586}"/>
    <cellStyle name="Comma 29 2 2 2" xfId="2491" xr:uid="{43266B11-7888-4301-98AB-DD5784217BD0}"/>
    <cellStyle name="Comma 29 2 2 2 2" xfId="4619" xr:uid="{E901AFE2-9067-465B-B759-CB1A07A27161}"/>
    <cellStyle name="Comma 29 2 2 2 2 2" xfId="6874" xr:uid="{B5269892-B50B-411E-ACEB-4977063D875C}"/>
    <cellStyle name="Comma 29 2 2 2 3" xfId="3211" xr:uid="{C53CF550-5CB8-474E-949B-4E548541F446}"/>
    <cellStyle name="Comma 29 2 2 3" xfId="2941" xr:uid="{F3CCF939-840C-47A5-8FB4-50B4E03096FB}"/>
    <cellStyle name="Comma 29 2 2 3 2" xfId="4839" xr:uid="{D93AEC99-736E-4B3F-9384-C6FBACAB06F6}"/>
    <cellStyle name="Comma 29 2 2 3 2 2" xfId="6986" xr:uid="{39126CEB-155C-469A-AF74-851D049E5D66}"/>
    <cellStyle name="Comma 29 2 2 3 3" xfId="3618" xr:uid="{5664B0FD-4EFF-4476-AD3C-881D9C3297AE}"/>
    <cellStyle name="Comma 29 2 2 4" xfId="2262" xr:uid="{DE612E97-CF7C-43C2-A546-9540C5F57F83}"/>
    <cellStyle name="Comma 29 2 2 4 2" xfId="4966" xr:uid="{51FE186F-ADCD-4BCF-9516-6CB485C73B5E}"/>
    <cellStyle name="Comma 29 2 2 4 2 2" xfId="6930" xr:uid="{1B9823C1-21B8-4936-8B92-F22F0CEAF221}"/>
    <cellStyle name="Comma 29 2 2 4 3" xfId="3926" xr:uid="{5165B76B-DBE5-4256-9AA2-F72625D662E9}"/>
    <cellStyle name="Comma 29 2 2 5" xfId="4523" xr:uid="{EFCF672C-D3B3-4B19-AD70-692B40522E1E}"/>
    <cellStyle name="Comma 29 2 2 5 2" xfId="6162" xr:uid="{01B25242-489B-4188-8F5E-448122EF438B}"/>
    <cellStyle name="Comma 29 2 2 6" xfId="3116" xr:uid="{60A617BE-439A-41B0-AEAB-5148D590C817}"/>
    <cellStyle name="Comma 29 2 2 7" xfId="5179" xr:uid="{8F0C5CAC-1C8C-403D-AE94-E3A32C62F2C4}"/>
    <cellStyle name="Comma 29 2 2 8" xfId="5383" xr:uid="{151609E2-F84E-4E51-BB46-B85EFC7DE138}"/>
    <cellStyle name="Comma 29 2 3" xfId="1804" xr:uid="{1E57C2B1-8E1B-417C-AEFB-46C5CE967F51}"/>
    <cellStyle name="Comma 29 2 3 2" xfId="2893" xr:uid="{6215E191-EC8D-4E96-A5D9-6D2FE638CB4D}"/>
    <cellStyle name="Comma 29 2 3 2 2" xfId="4574" xr:uid="{95AE003C-1F49-4212-A916-B7CA6642A2B5}"/>
    <cellStyle name="Comma 29 2 3 2 2 2" xfId="6831" xr:uid="{492BFB02-40CB-4C10-A9EF-63DB734EC41D}"/>
    <cellStyle name="Comma 29 2 3 2 3" xfId="6290" xr:uid="{220EFEF3-C4D5-4D30-9732-BD3700D64EFB}"/>
    <cellStyle name="Comma 29 2 3 2 4" xfId="5483" xr:uid="{1CA881EE-44B7-43E5-85DD-E543C8230C6A}"/>
    <cellStyle name="Comma 29 2 3 3" xfId="2394" xr:uid="{69A7C028-0EB1-4E6B-AC09-6C965E488E8F}"/>
    <cellStyle name="Comma 29 2 3 3 2" xfId="4327" xr:uid="{108348FB-F507-4380-A47B-A27752D77E7F}"/>
    <cellStyle name="Comma 29 2 3 3 2 2" xfId="6980" xr:uid="{E94678AB-DA59-4D6F-92F1-85D70C315E9E}"/>
    <cellStyle name="Comma 29 2 3 3 3" xfId="6659" xr:uid="{F506A995-7A66-4759-930C-AC186C7E78EF}"/>
    <cellStyle name="Comma 29 2 3 4" xfId="3166" xr:uid="{96A8DDFE-63CF-4890-A38E-E105056DCFB0}"/>
    <cellStyle name="Comma 29 2 3 4 2" xfId="5917" xr:uid="{21AA2AD0-DC3A-44E0-88BA-AE68AFD775D9}"/>
    <cellStyle name="Comma 29 2 3 4 2 2" xfId="6924" xr:uid="{5C28366C-F661-4D11-AAA7-B5154C1D9577}"/>
    <cellStyle name="Comma 29 2 3 4 3" xfId="6464" xr:uid="{65B814BD-8BC0-4A6B-92A3-402ED31954F5}"/>
    <cellStyle name="Comma 29 2 3 4 4" xfId="5591" xr:uid="{1FFB86B5-0288-46D7-AD44-D8BE10F0563E}"/>
    <cellStyle name="Comma 29 2 3 5" xfId="5132" xr:uid="{1E4043B6-8B57-4546-B3F2-FEBA82D1C571}"/>
    <cellStyle name="Comma 29 2 4" xfId="2750" xr:uid="{202CB13E-D979-47E0-85C0-B43CDF478E0D}"/>
    <cellStyle name="Comma 29 2 4 2" xfId="4789" xr:uid="{C766EE2C-9DB8-425E-9156-37D78BC66674}"/>
    <cellStyle name="Comma 29 2 4 3" xfId="3559" xr:uid="{FC91C830-E0A4-4E5E-B033-49EFF961A64A}"/>
    <cellStyle name="Comma 29 2 5" xfId="2100" xr:uid="{0B877E6D-CB85-43A2-B2F5-0523EFE8C792}"/>
    <cellStyle name="Comma 29 2 5 2" xfId="4952" xr:uid="{2D9AEAC8-9211-47A5-938D-B4130E602A80}"/>
    <cellStyle name="Comma 29 2 5 3" xfId="3878" xr:uid="{AA3BB722-026D-402B-AAE3-801F2E2AABD3}"/>
    <cellStyle name="Comma 29 2 6" xfId="4484" xr:uid="{7035EE2B-707D-4D2F-9B8C-5B873078D082}"/>
    <cellStyle name="Comma 29 2 7" xfId="4200" xr:uid="{A50B9411-E0D8-4753-AFF1-DFDC9ADCA9AE}"/>
    <cellStyle name="Comma 29 2 8" xfId="3062" xr:uid="{C4F9D88C-B4CF-4583-82CF-4F17B78B12AC}"/>
    <cellStyle name="Comma 29 2 9" xfId="5325" xr:uid="{689E564A-BD49-48B8-9409-073B80A92B46}"/>
    <cellStyle name="Comma 29 3" xfId="1821" xr:uid="{17F4271D-FC18-4B0C-982E-B94905B6295B}"/>
    <cellStyle name="Comma 29 3 2" xfId="1870" xr:uid="{EB9EBDB2-DF4B-4783-950B-780EAFFE6BCF}"/>
    <cellStyle name="Comma 29 3 2 2" xfId="2511" xr:uid="{9144E402-4F91-42D6-A376-B8AFE3F50955}"/>
    <cellStyle name="Comma 29 3 2 2 2" xfId="4598" xr:uid="{B2EC5492-1B10-4A3C-B2B8-D6E7E9282F08}"/>
    <cellStyle name="Comma 29 3 2 2 2 2" xfId="6890" xr:uid="{ECEF9917-4F36-4640-BE22-BE8BA0742908}"/>
    <cellStyle name="Comma 29 3 2 2 3" xfId="6340" xr:uid="{E9020B92-1B55-4037-9173-CC76E64CC58B}"/>
    <cellStyle name="Comma 29 3 2 3" xfId="2957" xr:uid="{1E05D750-4DF0-4A96-B93E-3174AFBD70AC}"/>
    <cellStyle name="Comma 29 3 2 3 2" xfId="4377" xr:uid="{A451D265-5444-4A60-9B0D-7288E0BD381B}"/>
    <cellStyle name="Comma 29 3 2 3 2 2" xfId="6988" xr:uid="{E8EC0D6B-CE3B-460A-8B0F-0ECC3F72F185}"/>
    <cellStyle name="Comma 29 3 2 3 3" xfId="6690" xr:uid="{C53571DA-1738-4C4B-B76E-A281D6C4DA6C}"/>
    <cellStyle name="Comma 29 3 2 4" xfId="2282" xr:uid="{1B28D86A-0B1A-4615-B932-B671E7E9FAAE}"/>
    <cellStyle name="Comma 29 3 2 4 2" xfId="5923" xr:uid="{AB86BC20-AE34-47FB-98C2-E6F7FF83C260}"/>
    <cellStyle name="Comma 29 3 2 4 2 2" xfId="6932" xr:uid="{C94E5B00-A4F9-43C4-B6AC-9B9CA2BBAA6B}"/>
    <cellStyle name="Comma 29 3 2 4 3" xfId="6518" xr:uid="{4FE16CD3-6CC4-4DA0-AA50-979453B6C449}"/>
    <cellStyle name="Comma 29 3 2 4 4" xfId="5603" xr:uid="{71B4A264-9FFA-44E8-B91B-41F9F73DD540}"/>
    <cellStyle name="Comma 29 3 2 5" xfId="3190" xr:uid="{99023D69-7C6F-4A81-BCD4-53EB5C47C0E7}"/>
    <cellStyle name="Comma 29 3 2 6" xfId="5195" xr:uid="{1E16055C-1004-4BC4-97D5-F9EDDF095DC4}"/>
    <cellStyle name="Comma 29 3 3" xfId="2416" xr:uid="{60697332-8DAA-4E0C-8B81-E463C1595BF8}"/>
    <cellStyle name="Comma 29 3 3 2" xfId="4818" xr:uid="{EF847A28-64D6-4C39-A845-74FE2190FD2D}"/>
    <cellStyle name="Comma 29 3 3 2 2" xfId="6847" xr:uid="{825B7668-9C32-4D97-9B73-AFFD519D61C3}"/>
    <cellStyle name="Comma 29 3 3 3" xfId="3597" xr:uid="{020D7D60-338A-4CCE-8865-021F668B63C5}"/>
    <cellStyle name="Comma 29 3 3 3 2" xfId="6301" xr:uid="{C941ABD3-B051-43EC-B84E-81803165992E}"/>
    <cellStyle name="Comma 29 3 4" xfId="2909" xr:uid="{0E0840E1-E647-43B5-9F34-CE49447409D7}"/>
    <cellStyle name="Comma 29 3 4 2" xfId="4959" xr:uid="{BEBB4B9E-C534-4C0B-9FE0-C096C4E9CB8C}"/>
    <cellStyle name="Comma 29 3 4 2 2" xfId="6982" xr:uid="{0C738448-3601-4EB7-8F9C-4E22BC2F226F}"/>
    <cellStyle name="Comma 29 3 4 3" xfId="3905" xr:uid="{AED3C3F4-96F1-4463-B157-A04FDA5591CC}"/>
    <cellStyle name="Comma 29 3 5" xfId="2153" xr:uid="{2DBBB960-20A4-43A0-A422-08548AE966FB}"/>
    <cellStyle name="Comma 29 3 5 2" xfId="4510" xr:uid="{ED7952E3-9622-41C7-BCCC-423FBF64C813}"/>
    <cellStyle name="Comma 29 3 5 2 2" xfId="6926" xr:uid="{F0B4850F-2ECC-4470-9507-B3F87B9CF7E8}"/>
    <cellStyle name="Comma 29 3 5 3" xfId="6477" xr:uid="{50858EE2-8AC0-4232-A598-FBA312527D76}"/>
    <cellStyle name="Comma 29 3 6" xfId="3095" xr:uid="{BC4C1A46-1898-469E-A2DE-F3D9E41B3026}"/>
    <cellStyle name="Comma 29 3 7" xfId="5148" xr:uid="{D2C8C958-7D8D-47B4-951F-5B5BC1337C74}"/>
    <cellStyle name="Comma 29 3 8" xfId="5413" xr:uid="{1037C2E4-878B-4659-B84D-CB3C4ED3B655}"/>
    <cellStyle name="Comma 29 4" xfId="1838" xr:uid="{A430736B-D313-46B3-B884-0F5A821C454A}"/>
    <cellStyle name="Comma 29 4 2" xfId="2926" xr:uid="{B70947EE-1671-4253-BEC8-52C893560A08}"/>
    <cellStyle name="Comma 29 4 2 2" xfId="4553" xr:uid="{82AC7B6A-6849-47F6-AB52-6BD87F88E6F3}"/>
    <cellStyle name="Comma 29 4 2 2 2" xfId="6862" xr:uid="{E70ADB18-51CF-4B5B-9F46-24CD84EA06B9}"/>
    <cellStyle name="Comma 29 4 2 3" xfId="6315" xr:uid="{D00E00D7-F628-4FD0-B9F5-683E90FFA6C0}"/>
    <cellStyle name="Comma 29 4 2 4" xfId="5486" xr:uid="{127ED4A8-0D3B-4ED9-ADD5-BB4EA4441341}"/>
    <cellStyle name="Comma 29 4 3" xfId="2180" xr:uid="{CAC5B5A3-FE58-4079-AC13-497D622FE69B}"/>
    <cellStyle name="Comma 29 4 3 2" xfId="4352" xr:uid="{DFB3C92C-82CB-4208-B3AF-76319DD3A16D}"/>
    <cellStyle name="Comma 29 4 3 2 2" xfId="6984" xr:uid="{F3A28CC7-477B-48C9-A54E-7412434F8383}"/>
    <cellStyle name="Comma 29 4 3 3" xfId="6673" xr:uid="{7801E2D8-0D8A-41A1-9C6D-5439A15B629E}"/>
    <cellStyle name="Comma 29 4 4" xfId="3145" xr:uid="{BE576E11-86DA-492F-BF41-25A87886D012}"/>
    <cellStyle name="Comma 29 4 4 2" xfId="5920" xr:uid="{9E984299-3277-4894-A562-DA01C412849C}"/>
    <cellStyle name="Comma 29 4 4 2 2" xfId="6928" xr:uid="{4A96F2A4-F50D-4AC2-8445-956C1CEB1177}"/>
    <cellStyle name="Comma 29 4 4 3" xfId="6492" xr:uid="{2C6A59B0-7027-45EB-9838-2F29A13D71E9}"/>
    <cellStyle name="Comma 29 4 4 4" xfId="5598" xr:uid="{9B6B7289-F33A-4BAE-8041-0FB4E451ED29}"/>
    <cellStyle name="Comma 29 4 5" xfId="5164" xr:uid="{872A5B59-F48A-4FE3-81A1-B130F46AE232}"/>
    <cellStyle name="Comma 29 4 6" xfId="5416" xr:uid="{DBB7DD2E-6342-46D8-9C41-D65DEF11BC5B}"/>
    <cellStyle name="Comma 29 5" xfId="1774" xr:uid="{DE994E86-5933-4D2E-AB84-4066E37DD5FC}"/>
    <cellStyle name="Comma 29 5 2" xfId="2471" xr:uid="{D88260AE-D7C0-44B2-8300-B632B80177DC}"/>
    <cellStyle name="Comma 29 5 2 2" xfId="4766" xr:uid="{57341385-D867-424B-A0D7-4AE35D1A5537}"/>
    <cellStyle name="Comma 29 5 2 2 2" xfId="6817" xr:uid="{E25C37D6-769A-40B7-A953-002BFD8CFE4A}"/>
    <cellStyle name="Comma 29 5 2 3" xfId="6278" xr:uid="{C2B225E3-20B5-450D-8454-9A249B8E1B18}"/>
    <cellStyle name="Comma 29 5 3" xfId="2870" xr:uid="{DF8480DD-A901-4722-A024-293363C3F539}"/>
    <cellStyle name="Comma 29 5 3 2" xfId="4309" xr:uid="{8C052691-C402-4301-8E86-D0180CCB3DD7}"/>
    <cellStyle name="Comma 29 5 3 2 2" xfId="6978" xr:uid="{24005E73-F0F2-400E-A9E2-FBEB8C616205}"/>
    <cellStyle name="Comma 29 5 3 3" xfId="6650" xr:uid="{1070335D-C730-4D35-B942-A77EDB7B3C6A}"/>
    <cellStyle name="Comma 29 5 4" xfId="2241" xr:uid="{C44B3C09-073B-44C7-AAD5-D5A6D61D81AF}"/>
    <cellStyle name="Comma 29 5 4 2" xfId="5911" xr:uid="{C5C9A7AF-774C-4A9D-992E-7F15D59B0F51}"/>
    <cellStyle name="Comma 29 5 4 2 2" xfId="6922" xr:uid="{1F7EDABC-617D-43A3-8D8B-147D8BB601D3}"/>
    <cellStyle name="Comma 29 5 4 3" xfId="6450" xr:uid="{6919D227-9D6E-4D39-AA88-3D8C2D15EEA1}"/>
    <cellStyle name="Comma 29 5 4 4" xfId="5587" xr:uid="{F16CB856-20A1-4413-993B-722A5D6B5342}"/>
    <cellStyle name="Comma 29 5 5" xfId="3524" xr:uid="{D67E6F00-24C7-4788-9141-AED65186A154}"/>
    <cellStyle name="Comma 29 5 5 2" xfId="6141" xr:uid="{0B02C593-49D6-41A3-B8FE-66EBB69FBC55}"/>
    <cellStyle name="Comma 29 5 6" xfId="5117" xr:uid="{13C2D3E7-4422-4599-B33B-379EDEF8A0BA}"/>
    <cellStyle name="Comma 29 6" xfId="1906" xr:uid="{01B71126-8B80-48DD-81E8-D00E8159C9A7}"/>
    <cellStyle name="Comma 29 6 2" xfId="2984" xr:uid="{D28F3407-7112-4B79-A816-6DAF4BFC4B84}"/>
    <cellStyle name="Comma 29 6 2 2" xfId="4659" xr:uid="{FA2720E4-193C-406D-BDDD-96833BA99186}"/>
    <cellStyle name="Comma 29 6 2 2 2" xfId="6993" xr:uid="{8C0C772A-A59D-49EE-AC9B-CBE6AA152575}"/>
    <cellStyle name="Comma 29 6 2 2 3" xfId="6003" xr:uid="{B73ABB77-F715-4BF3-A247-0E9F4626A9C3}"/>
    <cellStyle name="Comma 29 6 2 3" xfId="6722" xr:uid="{EBD346CB-EFD3-42A5-86E6-D3B3AC288B8E}"/>
    <cellStyle name="Comma 29 6 3" xfId="2374" xr:uid="{74B01903-F8B6-4240-A2C6-4106CD9ECCC5}"/>
    <cellStyle name="Comma 29 6 3 2" xfId="4404" xr:uid="{FEB6A7E6-17C4-4C07-93A4-80E3B4C6837D}"/>
    <cellStyle name="Comma 29 6 3 2 2" xfId="6941" xr:uid="{9B9A228D-C1E0-4F03-8DB3-C7AEDF8A0E52}"/>
    <cellStyle name="Comma 29 6 3 3" xfId="6538" xr:uid="{35712651-9D8E-4D0B-B4FD-9DE49D7AC460}"/>
    <cellStyle name="Comma 29 6 4" xfId="3255" xr:uid="{7A948E3B-E16F-4715-9F8D-46E271D1F5CD}"/>
    <cellStyle name="Comma 29 6 4 2" xfId="6191" xr:uid="{A1F64040-0E33-4DDB-AD37-C4EF0804BD91}"/>
    <cellStyle name="Comma 29 6 5" xfId="5221" xr:uid="{B3C301AB-83EA-4E19-8E3C-CBD8B948AA76}"/>
    <cellStyle name="Comma 29 7" xfId="2611" xr:uid="{24CD296A-2D0F-47A9-964E-22A53191962D}"/>
    <cellStyle name="Comma 29 7 2" xfId="4944" xr:uid="{5E2C045F-AB00-4739-AAB8-A3ED6EDF3AB4}"/>
    <cellStyle name="Comma 29 7 2 2" xfId="6955" xr:uid="{61EBA55D-227C-4DA5-84F9-F1B0D964A00B}"/>
    <cellStyle name="Comma 29 7 3" xfId="3857" xr:uid="{F3DD7CA3-95B2-4DAF-BC9D-EA03C2F0E3EF}"/>
    <cellStyle name="Comma 29 8" xfId="2078" xr:uid="{906F6B3A-AD52-4586-9DFF-3839EC74D3D7}"/>
    <cellStyle name="Comma 29 8 2" xfId="4465" xr:uid="{9B5427FB-452F-4A27-9F52-C04394C55956}"/>
    <cellStyle name="Comma 29 8 2 2" xfId="6898" xr:uid="{99343062-D65E-4F7B-A543-134C118029AF}"/>
    <cellStyle name="Comma 29 8 3" xfId="6357" xr:uid="{5840A62E-C3B9-4845-9209-817E4185164D}"/>
    <cellStyle name="Comma 29 9" xfId="3041" xr:uid="{90836B96-EB17-4212-A61B-048B5DB9513A}"/>
    <cellStyle name="Comma 3" xfId="5" xr:uid="{AF5FB498-67A9-4262-947B-CFF71CC53900}"/>
    <cellStyle name="Comma 3 10" xfId="5260" xr:uid="{7866C1A6-308F-4497-B69B-DFCAD7F28229}"/>
    <cellStyle name="Comma 3 11" xfId="7046" xr:uid="{D52C31F9-5220-420E-B781-9E1AC6615400}"/>
    <cellStyle name="Comma 3 2" xfId="6" xr:uid="{F7C7A736-8112-479B-A069-AEBF04E44381}"/>
    <cellStyle name="Comma 3 2 2" xfId="308" xr:uid="{850B783A-9595-416E-820D-8C4DAFA14DC3}"/>
    <cellStyle name="Comma 3 2 2 2" xfId="2650" xr:uid="{CE56BAB8-2819-4265-8428-F3E5DB6DA766}"/>
    <cellStyle name="Comma 3 2 2 2 2" xfId="7120" xr:uid="{9A5101D5-6403-4EF7-ACD3-478CFE45FDB1}"/>
    <cellStyle name="Comma 3 2 2 2 2 2" xfId="7126" xr:uid="{9976F4B1-1EF1-4ED4-B519-9B6C8247D15C}"/>
    <cellStyle name="Comma 3 2 2 3" xfId="2174" xr:uid="{AA74F852-08D4-4977-A242-D27A4DB7CF46}"/>
    <cellStyle name="Comma 3 2 2 3 2" xfId="4054" xr:uid="{615BCFE2-1434-4745-9B9E-5E2B3F820313}"/>
    <cellStyle name="Comma 3 2 2 4" xfId="1145" xr:uid="{46F9BADF-08EF-4DF7-A302-9706E0969ED6}"/>
    <cellStyle name="Comma 3 2 2 5" xfId="718" xr:uid="{4BFE91FC-5415-485B-A06B-9E940483945B}"/>
    <cellStyle name="Comma 3 2 3" xfId="1283" xr:uid="{CA56769E-3770-405C-8550-E983C526BD20}"/>
    <cellStyle name="Comma 3 2 3 2" xfId="4657" xr:uid="{B28087B9-D8F5-4F5B-B188-37B73A14CBC1}"/>
    <cellStyle name="Comma 3 2 3 3" xfId="4111" xr:uid="{4BB1D4CE-09F7-4D29-B148-3242DC8019E3}"/>
    <cellStyle name="Comma 3 2 4" xfId="2581" xr:uid="{DF82600E-A9C6-49FA-BFE3-EA63B4301897}"/>
    <cellStyle name="Comma 3 2 4 2" xfId="5731" xr:uid="{4F23B80C-62EA-41ED-9925-F0EEFA2F1AFA}"/>
    <cellStyle name="Comma 3 2 4 3" xfId="5451" xr:uid="{82D9733A-654A-46C8-AFF7-F1CDC011CB35}"/>
    <cellStyle name="Comma 3 2 5" xfId="5460" xr:uid="{E07947AF-1ED4-40BE-B11D-7ECA8A3AD730}"/>
    <cellStyle name="Comma 3 2 5 2" xfId="5740" xr:uid="{B897C8DE-7FC7-4F09-85E5-04AE79E05659}"/>
    <cellStyle name="Comma 3 2 6" xfId="847" xr:uid="{A56F8786-011C-4AF3-A830-79E9B8D469FD}"/>
    <cellStyle name="Comma 3 3" xfId="79" xr:uid="{5E8D0471-13D7-46FF-8580-D9C45DB6B7B9}"/>
    <cellStyle name="Comma 3 3 2" xfId="1146" xr:uid="{40CD489E-74A7-4E5F-B270-D342B071633A}"/>
    <cellStyle name="Comma 3 3 2 2" xfId="1741" xr:uid="{976548C2-F5BC-440B-8ACE-2D2BE790EA42}"/>
    <cellStyle name="Comma 3 3 2 2 2" xfId="2854" xr:uid="{1DF7BE14-F7CB-4D33-B359-1FA07F881BAB}"/>
    <cellStyle name="Comma 3 3 2 2 2 2" xfId="5987" xr:uid="{8FF4EC48-A2D7-4858-9B36-8FC2A70C280E}"/>
    <cellStyle name="Comma 3 3 2 2 3" xfId="5583" xr:uid="{34B0D958-D5D7-4479-8458-9165AFDA9326}"/>
    <cellStyle name="Comma 3 3 2 2 3 2" xfId="5906" xr:uid="{319B5837-B459-4CF9-96AC-04526217BE65}"/>
    <cellStyle name="Comma 3 3 2 3" xfId="5657" xr:uid="{572D755D-35EF-4B6B-A959-FD2088938E65}"/>
    <cellStyle name="Comma 3 3 2 4" xfId="5517" xr:uid="{05830414-C3EE-4218-A015-5D671AF94A79}"/>
    <cellStyle name="Comma 3 3 2 5" xfId="7314" xr:uid="{21116A9F-8548-4E8E-B630-78B6CB13B1F0}"/>
    <cellStyle name="Comma 3 3 3" xfId="1438" xr:uid="{C3371959-E11D-46BC-A71F-96D9E8216A6B}"/>
    <cellStyle name="Comma 3 3 4" xfId="1726" xr:uid="{48C9E67D-0F48-4604-9907-18BBC79A9F56}"/>
    <cellStyle name="Comma 3 3 4 2" xfId="5716" xr:uid="{80DB3BAD-4793-40F5-8D54-026DF5F575CA}"/>
    <cellStyle name="Comma 3 3 4 3" xfId="5580" xr:uid="{C4EFC5E4-BDFF-47A3-9868-24BD9B8CB01F}"/>
    <cellStyle name="Comma 3 3 5" xfId="2582" xr:uid="{08809F6D-97CD-4205-B7A2-8BB82048A385}"/>
    <cellStyle name="Comma 3 3 6" xfId="810" xr:uid="{8D48E0E2-7997-4325-90D7-49685B6660C9}"/>
    <cellStyle name="Comma 3 3 7" xfId="7276" xr:uid="{CFDF2A68-0971-4211-BC38-20A201D18AA9}"/>
    <cellStyle name="Comma 3 4" xfId="310" xr:uid="{30952BDA-DB13-4BB9-8071-921E6531D41E}"/>
    <cellStyle name="Comma 3 4 2" xfId="1439" xr:uid="{62ED6DF8-1804-49A5-8110-BC92CBF6C38E}"/>
    <cellStyle name="Comma 3 4 2 2" xfId="5389" xr:uid="{2D430522-EF67-4D05-B3BA-44EAA0DCFB8E}"/>
    <cellStyle name="Comma 3 4 3" xfId="1740" xr:uid="{331D8B38-86DC-44F9-9018-594A5B6ADC4C}"/>
    <cellStyle name="Comma 3 4 3 2" xfId="2853" xr:uid="{D59B8FE1-70C8-4DF9-AF91-430720AC5280}"/>
    <cellStyle name="Comma 3 4 3 2 2" xfId="5986" xr:uid="{6E76F10B-3A9D-48BB-B898-E5DFD47D93E6}"/>
    <cellStyle name="Comma 3 4 3 3" xfId="5582" xr:uid="{231A5B29-1EC9-4792-B5EE-0061046EB6AD}"/>
    <cellStyle name="Comma 3 4 3 3 2" xfId="5905" xr:uid="{93832D6D-C34B-4695-8E80-FD2365BA89E3}"/>
    <cellStyle name="Comma 3 4 4" xfId="4656" xr:uid="{6316CEC1-AD5D-4AC6-A233-E7F1135D17CB}"/>
    <cellStyle name="Comma 3 4 5" xfId="4053" xr:uid="{B4F8BCE0-7066-4759-87B7-42E2245E866B}"/>
    <cellStyle name="Comma 3 4 6" xfId="5331" xr:uid="{C43CF7CB-F854-4CF2-BF5D-B25B151DFF34}"/>
    <cellStyle name="Comma 3 4 7" xfId="1144" xr:uid="{06D0C73F-A6F8-4AFF-B076-1F06352E4F86}"/>
    <cellStyle name="Comma 3 4 8" xfId="7301" xr:uid="{D63E5DF3-8A66-4F2A-B1BA-33FF2015B39B}"/>
    <cellStyle name="Comma 3 4 9" xfId="7036" xr:uid="{A1040A97-03F3-4BEB-B2F7-FA79E9AC3B49}"/>
    <cellStyle name="Comma 3 5" xfId="454" xr:uid="{1B9A2B31-B59A-42C4-9A07-9624832C9E8D}"/>
    <cellStyle name="Comma 3 5 2" xfId="4655" xr:uid="{D1C79F2B-4175-479D-9A85-BE7D613A6776}"/>
    <cellStyle name="Comma 3 5 3" xfId="4158" xr:uid="{AC2B1A97-662A-4FD5-9DD3-DA00EE7F98DB}"/>
    <cellStyle name="Comma 3 5 4" xfId="3253" xr:uid="{E0FA14BA-65E7-4178-8D63-3D5D45A1DBD7}"/>
    <cellStyle name="Comma 3 5 5" xfId="5359" xr:uid="{87A242D1-90AF-4A95-883C-945596DDBF0F}"/>
    <cellStyle name="Comma 3 5 6" xfId="1440" xr:uid="{63D302BD-74BC-4972-89E8-5E08D5ACE30B}"/>
    <cellStyle name="Comma 3 5 7" xfId="7100" xr:uid="{2852E3BB-F536-4055-8CB9-CA601E41730A}"/>
    <cellStyle name="Comma 3 6" xfId="307" xr:uid="{378885AE-5BB2-40AE-8FE5-DE1BB9883D40}"/>
    <cellStyle name="Comma 3 6 2" xfId="4654" xr:uid="{45DCBE66-4831-46DB-98DA-2784413F9049}"/>
    <cellStyle name="Comma 3 6 3" xfId="4110" xr:uid="{4C58721A-53D7-43F0-8120-69BC55B65438}"/>
    <cellStyle name="Comma 3 6 4" xfId="3252" xr:uid="{66C652B5-C40C-4A5E-B716-52108AEE20EC}"/>
    <cellStyle name="Comma 3 6 5" xfId="1282" xr:uid="{DB2127E8-6C03-4E41-B73B-3821C21A2C71}"/>
    <cellStyle name="Comma 3 6 6" xfId="7116" xr:uid="{91B62DB0-CB3C-447B-9B64-E917E514CB88}"/>
    <cellStyle name="Comma 3 7" xfId="2580" xr:uid="{8D610EFB-AA4E-49B7-AF2E-CE9837DA7AA6}"/>
    <cellStyle name="Comma 3 7 2" xfId="4653" xr:uid="{5A973E5D-72FE-41F7-957C-CC38781C78B2}"/>
    <cellStyle name="Comma 3 8" xfId="3254" xr:uid="{B2DE2BA4-3B23-4AD4-9ADB-EDBED3DC80E6}"/>
    <cellStyle name="Comma 3 8 2" xfId="4658" xr:uid="{A1B40E42-CE49-43C6-87EB-BE53C5BDC5E3}"/>
    <cellStyle name="Comma 3 8 3" xfId="7128" xr:uid="{B9758AC3-467D-499D-A0B2-7D02D90994A7}"/>
    <cellStyle name="Comma 3 9" xfId="4996" xr:uid="{698AE61E-93FF-45CD-AF08-9B1F9AC8B81D}"/>
    <cellStyle name="Comma 30" xfId="277" xr:uid="{32887D69-9CD4-41CD-B3AA-1E738CE80B5B}"/>
    <cellStyle name="Comma 30 2" xfId="1564" xr:uid="{CF1B7D60-471E-4553-B607-A4E28A90AB18}"/>
    <cellStyle name="Comma 30 2 2" xfId="1853" xr:uid="{154E1B05-AB89-42DC-AFA9-6B8CCBFB4F1A}"/>
    <cellStyle name="Comma 30 2 2 2" xfId="2514" xr:uid="{91CD09B8-79F3-4EA5-A6AE-02F6227AAADB}"/>
    <cellStyle name="Comma 30 2 2 2 2" xfId="5840" xr:uid="{A741E9EB-89E1-4C78-91F0-1EC2B92D89B7}"/>
    <cellStyle name="Comma 30 2 2 2 2 2" xfId="6873" xr:uid="{619463E2-FFA1-41C6-B7D5-CD25CF381392}"/>
    <cellStyle name="Comma 30 2 2 2 3" xfId="6324" xr:uid="{9379385B-B310-49AC-8880-EEFED7243F9D}"/>
    <cellStyle name="Comma 30 2 2 3" xfId="2940" xr:uid="{D4140971-A9F4-4A2B-AAC7-8CE6027F712D}"/>
    <cellStyle name="Comma 30 2 2 3 2" xfId="5998" xr:uid="{7C3FAD03-7771-4975-B398-9A24716B71FF}"/>
    <cellStyle name="Comma 30 2 2 3 2 2" xfId="6985" xr:uid="{A6DC0654-0D7B-4679-8EA6-40C1D1F2D0AA}"/>
    <cellStyle name="Comma 30 2 2 3 3" xfId="6679" xr:uid="{90F280F4-E35F-4CBC-98BE-5CF0235DB10E}"/>
    <cellStyle name="Comma 30 2 2 4" xfId="2285" xr:uid="{53F9D19D-B6CB-45DA-90AE-00F903D5F90D}"/>
    <cellStyle name="Comma 30 2 2 4 2" xfId="5921" xr:uid="{DBF53960-D3DC-4D63-A859-622C651CB4BC}"/>
    <cellStyle name="Comma 30 2 2 4 2 2" xfId="6929" xr:uid="{57E0FEC8-DFBF-4419-A585-090CB18BE1F9}"/>
    <cellStyle name="Comma 30 2 2 4 3" xfId="6502" xr:uid="{1D06005A-7E1F-4686-AD60-09A4DFC00532}"/>
    <cellStyle name="Comma 30 2 2 4 4" xfId="5600" xr:uid="{5FB55E7E-9350-4F3C-ACAF-2D07ABBA6040}"/>
    <cellStyle name="Comma 30 2 2 5" xfId="4361" xr:uid="{F192BC2D-5BC7-458D-AC7F-D78E523364D5}"/>
    <cellStyle name="Comma 30 2 2 5 2" xfId="6161" xr:uid="{99779DCF-F13C-4995-B51E-B6F776300A33}"/>
    <cellStyle name="Comma 30 2 2 6" xfId="5178" xr:uid="{B1176050-156F-43C2-BDD2-CF57708A012C}"/>
    <cellStyle name="Comma 30 2 3" xfId="1803" xr:uid="{9075D2E4-FFD9-473D-AB30-FE6BC1337994}"/>
    <cellStyle name="Comma 30 2 3 2" xfId="2892" xr:uid="{833E3229-0E04-4067-BB53-0AFEF9B52DE8}"/>
    <cellStyle name="Comma 30 2 3 2 2" xfId="5820" xr:uid="{675C06E2-2BB3-430A-8DEF-E7324F194ED0}"/>
    <cellStyle name="Comma 30 2 3 2 2 2" xfId="6830" xr:uid="{C7635F69-C463-4EE7-BB81-3D1C51B2E1A4}"/>
    <cellStyle name="Comma 30 2 3 2 3" xfId="6289" xr:uid="{69FA9A3F-F7B6-4D49-9A57-CE30625C79D1}"/>
    <cellStyle name="Comma 30 2 3 2 4" xfId="5482" xr:uid="{40111FAE-7F37-40E4-B95C-21894B8B6AFA}"/>
    <cellStyle name="Comma 30 2 3 3" xfId="2419" xr:uid="{DCEBAC2C-0BB1-4DE3-A20B-AF1645B0F15D}"/>
    <cellStyle name="Comma 30 2 3 3 2" xfId="5996" xr:uid="{B2A87811-49AE-4487-88C6-73FED76FEA83}"/>
    <cellStyle name="Comma 30 2 3 3 2 2" xfId="6979" xr:uid="{EA4745DC-B101-4B26-A116-A5EF06E46A3C}"/>
    <cellStyle name="Comma 30 2 3 3 3" xfId="6658" xr:uid="{84EF70F3-7E37-4C60-91C8-B0889A5B57F5}"/>
    <cellStyle name="Comma 30 2 3 3 4" xfId="5721" xr:uid="{CA18C38D-338B-4BA8-8300-721FE1D76A27}"/>
    <cellStyle name="Comma 30 2 3 4" xfId="4326" xr:uid="{94EFE192-46E1-4FED-B912-ABC0B8ECDE86}"/>
    <cellStyle name="Comma 30 2 3 4 2" xfId="5916" xr:uid="{9BE3F8ED-DB93-45C7-BED8-2860B1F721DD}"/>
    <cellStyle name="Comma 30 2 3 4 2 2" xfId="6923" xr:uid="{679AC28E-F0A5-47B8-8382-4C4F372ED3A4}"/>
    <cellStyle name="Comma 30 2 3 4 3" xfId="6463" xr:uid="{7937959D-2A17-4216-AC71-B91F571C1CD0}"/>
    <cellStyle name="Comma 30 2 3 5" xfId="5131" xr:uid="{CC8A3745-0547-475F-AAB5-D32730D0E94E}"/>
    <cellStyle name="Comma 30 2 4" xfId="2752" xr:uid="{9C8986B2-816A-439C-8540-B89D9B712DE4}"/>
    <cellStyle name="Comma 30 2 4 2" xfId="4767" xr:uid="{7EA6118E-6A25-4307-A91A-BCF9CA8BC167}"/>
    <cellStyle name="Comma 30 2 5" xfId="2158" xr:uid="{AEE9C19C-CA8B-40D5-987B-CBA51CC9A008}"/>
    <cellStyle name="Comma 30 2 5 2" xfId="4202" xr:uid="{2335F8CD-9E4C-4548-A70A-233931C4D966}"/>
    <cellStyle name="Comma 30 2 6" xfId="3527" xr:uid="{7886234D-8089-4D2A-AFD5-23AA391E5ACA}"/>
    <cellStyle name="Comma 30 3" xfId="1820" xr:uid="{96E3CF93-BD86-4004-B864-519C6297C22D}"/>
    <cellStyle name="Comma 30 3 2" xfId="1869" xr:uid="{5D26B4E3-99E6-4AC3-86AE-D5BEFCFD026A}"/>
    <cellStyle name="Comma 30 3 2 2" xfId="2956" xr:uid="{8F28C29E-7559-4AD6-956E-E2CEACC08985}"/>
    <cellStyle name="Comma 30 3 2 2 2" xfId="5849" xr:uid="{01EEC63E-6F47-4757-AA65-8149F37DEBCE}"/>
    <cellStyle name="Comma 30 3 2 2 2 2" xfId="6889" xr:uid="{46FC9C40-F38C-4879-B21E-D6370F5475FF}"/>
    <cellStyle name="Comma 30 3 2 2 3" xfId="6339" xr:uid="{8BF90CF9-B3ED-478D-A3A6-B058D0136B1E}"/>
    <cellStyle name="Comma 30 3 2 2 4" xfId="5487" xr:uid="{CFD4874F-5FBD-4793-98B9-046A005B572A}"/>
    <cellStyle name="Comma 30 3 2 3" xfId="4376" xr:uid="{B3CA706B-EEA0-4234-97CE-60E1DF014B80}"/>
    <cellStyle name="Comma 30 3 2 3 2" xfId="5999" xr:uid="{7AEA9F8E-E9BE-4112-A822-7CC4A20A774D}"/>
    <cellStyle name="Comma 30 3 2 3 2 2" xfId="6987" xr:uid="{38CFAF56-9199-4B04-8091-618FEE97CDE1}"/>
    <cellStyle name="Comma 30 3 2 3 3" xfId="6689" xr:uid="{5F805770-FBAD-4DF2-890F-867E8C7C8983}"/>
    <cellStyle name="Comma 30 3 2 4" xfId="5194" xr:uid="{567369FB-B1FF-4DB6-B7D9-92DF7B5A04D5}"/>
    <cellStyle name="Comma 30 3 2 4 2" xfId="5922" xr:uid="{DEB76140-ACA1-4A4E-BB9F-88695FF1F58E}"/>
    <cellStyle name="Comma 30 3 2 4 2 2" xfId="6931" xr:uid="{0CA919D0-7ABE-4D04-AF62-95631465ED11}"/>
    <cellStyle name="Comma 30 3 2 4 3" xfId="6517" xr:uid="{821A32AA-FC6E-4F03-B562-F35191606FFC}"/>
    <cellStyle name="Comma 30 3 2 4 4" xfId="5602" xr:uid="{FFCEA05C-56CB-4330-9D78-BA14509F6CD4}"/>
    <cellStyle name="Comma 30 3 2 5" xfId="6168" xr:uid="{4A6947B0-CEDF-44FB-B3F3-B947E4AD76FC}"/>
    <cellStyle name="Comma 30 3 3" xfId="2908" xr:uid="{C743A90A-D305-4463-A8B1-57D02C6AA794}"/>
    <cellStyle name="Comma 30 3 3 2" xfId="4652" xr:uid="{1B67E32D-6535-4B6B-9C1E-B5D41D81AC7E}"/>
    <cellStyle name="Comma 30 3 3 2 2" xfId="6846" xr:uid="{1145F623-9CD0-4FDC-BB46-991A135D7EDB}"/>
    <cellStyle name="Comma 30 3 3 2 3" xfId="5827" xr:uid="{7027688E-F0B2-4712-8169-9015CC88D80D}"/>
    <cellStyle name="Comma 30 3 3 3" xfId="6300" xr:uid="{14720A3C-CE60-45B2-A731-6355D9B2C22C}"/>
    <cellStyle name="Comma 30 3 3 4" xfId="5484" xr:uid="{678F11B4-73EB-411F-B8DD-975CD78F386D}"/>
    <cellStyle name="Comma 30 3 4" xfId="2181" xr:uid="{4F832D6C-374D-43B3-ADDB-623D6EDA8F45}"/>
    <cellStyle name="Comma 30 3 4 2" xfId="4337" xr:uid="{17C7BE60-81A7-4D20-8839-507FDFC82FE0}"/>
    <cellStyle name="Comma 30 3 4 2 2" xfId="6981" xr:uid="{E2C41231-C4A9-4A6E-98EB-18065108BC03}"/>
    <cellStyle name="Comma 30 3 4 3" xfId="6665" xr:uid="{C19E555B-E379-4739-913B-0B83E1883DE5}"/>
    <cellStyle name="Comma 30 3 5" xfId="3251" xr:uid="{89849314-7F5F-4A70-B32D-112CF40A4892}"/>
    <cellStyle name="Comma 30 3 5 2" xfId="5918" xr:uid="{8D575A0F-3B3F-4965-A314-DF7514C82FB9}"/>
    <cellStyle name="Comma 30 3 5 2 2" xfId="6925" xr:uid="{CA82DCF1-F1ED-46C8-B334-F6D18B26BE64}"/>
    <cellStyle name="Comma 30 3 5 3" xfId="6476" xr:uid="{08FA5125-1E69-4169-90DD-0AAD76CA362D}"/>
    <cellStyle name="Comma 30 3 5 4" xfId="5594" xr:uid="{02EBE4C7-6002-4906-8E1A-7D3902811BB6}"/>
    <cellStyle name="Comma 30 3 6" xfId="5147" xr:uid="{D2FFEF48-EF70-4C68-B1C2-2C9F80BE529A}"/>
    <cellStyle name="Comma 30 4" xfId="1837" xr:uid="{4C298380-A9F9-4CA3-8508-3464AD564D4F}"/>
    <cellStyle name="Comma 30 4 2" xfId="2925" xr:uid="{2C55B5DD-414D-4C14-8CD2-582118464019}"/>
    <cellStyle name="Comma 30 4 2 2" xfId="5834" xr:uid="{3E100D5A-8B95-449D-9E88-5A73976BEEC1}"/>
    <cellStyle name="Comma 30 4 2 2 2" xfId="6861" xr:uid="{CE7E87D9-3910-4864-A23B-AF4EDA895477}"/>
    <cellStyle name="Comma 30 4 2 3" xfId="6314" xr:uid="{9831E57B-D47E-4567-97EE-92FE2BE08EAC}"/>
    <cellStyle name="Comma 30 4 2 4" xfId="5485" xr:uid="{501C9109-D74B-417E-8DB3-0643BE029184}"/>
    <cellStyle name="Comma 30 4 3" xfId="4351" xr:uid="{DE182623-3CA9-4220-AEA4-8AC89688EDA2}"/>
    <cellStyle name="Comma 30 4 3 2" xfId="5997" xr:uid="{EC23A676-0076-4DEB-BB43-CACAAC333AC9}"/>
    <cellStyle name="Comma 30 4 3 2 2" xfId="6983" xr:uid="{6D528BE3-A924-4B0C-85C7-29294646E8C2}"/>
    <cellStyle name="Comma 30 4 3 3" xfId="6672" xr:uid="{17F37D52-8477-4F22-9E45-6949F6C143EC}"/>
    <cellStyle name="Comma 30 4 4" xfId="5163" xr:uid="{EDFE4B99-404E-4B46-978D-A547E970ED6E}"/>
    <cellStyle name="Comma 30 4 4 2" xfId="5919" xr:uid="{28BEE3ED-4965-41D8-A561-9921D3739FC3}"/>
    <cellStyle name="Comma 30 4 4 2 2" xfId="6927" xr:uid="{4A2AE25F-E3F7-45CC-AE7D-EE5ADB3E85A7}"/>
    <cellStyle name="Comma 30 4 4 3" xfId="6491" xr:uid="{637C146A-C103-4416-8956-B183F57A1EEE}"/>
    <cellStyle name="Comma 30 4 4 4" xfId="5597" xr:uid="{1BE82FCD-44E4-4359-B68D-7938C1687F84}"/>
    <cellStyle name="Comma 30 4 5" xfId="6155" xr:uid="{E28D99B8-D018-40B9-AE92-A5B59844B621}"/>
    <cellStyle name="Comma 30 5" xfId="1773" xr:uid="{B3FE0234-ACC4-4683-8637-8FFB2EEB8298}"/>
    <cellStyle name="Comma 30 5 2" xfId="2869" xr:uid="{CEDE9D02-E4AC-44EB-993C-6148E68BDDBE}"/>
    <cellStyle name="Comma 30 5 2 2" xfId="5814" xr:uid="{BD4EB4B8-D51A-4BA3-993A-A9BAA5614F84}"/>
    <cellStyle name="Comma 30 5 2 2 2" xfId="6816" xr:uid="{64D6ACAF-2B51-4729-801D-1C4FD2F5FA4D}"/>
    <cellStyle name="Comma 30 5 2 3" xfId="6277" xr:uid="{508A08CC-D32B-430D-A70A-2FBC813EF7A8}"/>
    <cellStyle name="Comma 30 5 2 4" xfId="5481" xr:uid="{937FF946-DF48-4770-B34D-20F4FF68F757}"/>
    <cellStyle name="Comma 30 5 3" xfId="4308" xr:uid="{262C36D4-017E-4DDF-907C-C0A44FE760B9}"/>
    <cellStyle name="Comma 30 5 3 2" xfId="5991" xr:uid="{0042AA24-8C73-4341-A775-E19CD03585BF}"/>
    <cellStyle name="Comma 30 5 3 2 2" xfId="6977" xr:uid="{AFB6E1FB-FAE8-47BB-BA6D-5B3401E7262B}"/>
    <cellStyle name="Comma 30 5 3 3" xfId="6649" xr:uid="{754B1304-A738-4AF8-AF37-07603C304A29}"/>
    <cellStyle name="Comma 30 5 4" xfId="5116" xr:uid="{8141D456-C366-4D83-B531-2484BD2C4180}"/>
    <cellStyle name="Comma 30 5 4 2" xfId="5910" xr:uid="{A74765E2-783E-4ECA-B4B8-71324DA95B2C}"/>
    <cellStyle name="Comma 30 5 4 2 2" xfId="6921" xr:uid="{9F49E528-CE58-4F75-AD8F-176956C31A9F}"/>
    <cellStyle name="Comma 30 5 4 3" xfId="6449" xr:uid="{D0615685-B697-46A0-A69F-8E7C5D9A73D6}"/>
    <cellStyle name="Comma 30 5 4 4" xfId="5586" xr:uid="{C5D046ED-F8B1-4F4C-9905-D034A84126B0}"/>
    <cellStyle name="Comma 30 5 5" xfId="6140" xr:uid="{DA4EE122-3402-4611-9592-B565D702DE0E}"/>
    <cellStyle name="Comma 30 6" xfId="2645" xr:uid="{F3609014-542F-44ED-9521-52F569BBA340}"/>
    <cellStyle name="Comma 30 6 2" xfId="4466" xr:uid="{9E36B79E-19C5-474F-832F-9609AF341A65}"/>
    <cellStyle name="Comma 30 7" xfId="2079" xr:uid="{E9677ED9-5A83-415B-B74C-3A4E31C4C43A}"/>
    <cellStyle name="Comma 30 7 2" xfId="4040" xr:uid="{1BDC650B-39EE-40CB-A39B-4612F80B4285}"/>
    <cellStyle name="Comma 30 8" xfId="1126" xr:uid="{381702EC-F267-4965-B959-BABD7CBB12B9}"/>
    <cellStyle name="Comma 31" xfId="432" xr:uid="{CAB3A253-8682-4744-B606-E60BBA814D11}"/>
    <cellStyle name="Comma 31 2" xfId="1874" xr:uid="{6E57B841-D877-497F-9EAE-4280FB01F260}"/>
    <cellStyle name="Comma 31 2 2" xfId="2960" xr:uid="{D8A959C2-EAC6-4102-B4E1-5912FED7CDE0}"/>
    <cellStyle name="Comma 31 2 2 2" xfId="4793" xr:uid="{EAD1CF29-6C82-4AAD-A235-8598C06A8115}"/>
    <cellStyle name="Comma 31 2 3" xfId="2195" xr:uid="{59CE7941-A3F9-47BA-8543-706F230FC557}"/>
    <cellStyle name="Comma 31 2 3 2" xfId="4381" xr:uid="{9D3821C6-92B1-49AC-A0ED-D4B57E7C9975}"/>
    <cellStyle name="Comma 31 2 4" xfId="3568" xr:uid="{57FF9E2F-967E-4349-A6E3-9A015F496B2A}"/>
    <cellStyle name="Comma 31 3" xfId="2183" xr:uid="{874A320A-C479-4E22-8205-798A2EA79944}"/>
    <cellStyle name="Comma 31 3 2" xfId="4651" xr:uid="{97FCC746-E24E-4D24-B92B-26B3E9F658E3}"/>
    <cellStyle name="Comma 31 3 3" xfId="3250" xr:uid="{6A327EC2-E4FB-496A-BFCF-0BA7C5BF1B28}"/>
    <cellStyle name="Comma 31 3 4" xfId="5706" xr:uid="{EA542E68-380F-478B-94D2-5B8E3A76173A}"/>
    <cellStyle name="Comma 31 4" xfId="2753" xr:uid="{9A0D2EAF-3F20-4DD4-9BDA-83AB895CF5A2}"/>
    <cellStyle name="Comma 31 5" xfId="2080" xr:uid="{C00000E9-93AD-49B9-A6BB-3DA035B705B4}"/>
    <cellStyle name="Comma 31 5 2" xfId="4491" xr:uid="{5D1F7453-10AD-41B9-BA99-03B4081C069A}"/>
    <cellStyle name="Comma 31 6" xfId="1566" xr:uid="{6FCBC94D-F573-41EC-81A8-86AF203E3A92}"/>
    <cellStyle name="Comma 32" xfId="467" xr:uid="{1EDC60F3-2C91-413A-98D4-0B89979493D6}"/>
    <cellStyle name="Comma 32 2" xfId="2185" xr:uid="{6E10DF8D-0AE6-4BCC-9FB7-5A0A97906DE2}"/>
    <cellStyle name="Comma 32 2 2" xfId="4796" xr:uid="{9E5436DC-5B61-4E8F-B8D4-1F178B21782C}"/>
    <cellStyle name="Comma 32 2 3" xfId="3572" xr:uid="{E5F569B2-E050-4646-99E3-4DF6B73923E0}"/>
    <cellStyle name="Comma 32 3" xfId="2263" xr:uid="{AB3CB729-12E5-4674-9093-1621408E9CA2}"/>
    <cellStyle name="Comma 32 3 2" xfId="2492" xr:uid="{DDA22006-AFA8-4146-B936-BA2CAD298FFB}"/>
    <cellStyle name="Comma 32 3 3" xfId="3884" xr:uid="{06CD7BFA-565D-4C37-8FC7-F029AF55BD46}"/>
    <cellStyle name="Comma 32 4" xfId="2395" xr:uid="{64A99A43-A671-4F84-98F9-4ACE7E1AF3D5}"/>
    <cellStyle name="Comma 32 4 2" xfId="4495" xr:uid="{151332AD-FEBE-45E3-BE3E-D87EE0C17D33}"/>
    <cellStyle name="Comma 32 5" xfId="2755" xr:uid="{DAAC6E43-AF24-4A94-B91B-4F7DF6921C46}"/>
    <cellStyle name="Comma 32 6" xfId="2102" xr:uid="{709D5E1A-8B5B-4FAC-B8C2-1C5800737F8F}"/>
    <cellStyle name="Comma 32 7" xfId="3072" xr:uid="{10DB9692-8372-472F-9491-2BFB11AF6B2C}"/>
    <cellStyle name="Comma 32 8" xfId="1569" xr:uid="{79C7C9BB-F815-4AD5-89DD-F2C7F329AB5B}"/>
    <cellStyle name="Comma 33" xfId="587" xr:uid="{30F66367-892F-45FB-A132-797E11BBE0EA}"/>
    <cellStyle name="Comma 33 2" xfId="2188" xr:uid="{89D91CD7-89EC-4D76-8F6F-9CF35C139FD3}"/>
    <cellStyle name="Comma 33 2 2" xfId="2300" xr:uid="{48BC0DAD-6A95-4A23-9319-223DFE69D1E5}"/>
    <cellStyle name="Comma 33 2 2 2" xfId="2529" xr:uid="{FB202602-EC61-428A-AF46-0E5B2055C38A}"/>
    <cellStyle name="Comma 33 2 2 3" xfId="4799" xr:uid="{C869C89F-3A5A-4779-AD60-ECF456B8C91E}"/>
    <cellStyle name="Comma 33 2 3" xfId="2434" xr:uid="{B1413828-D525-4518-ACED-2B3680670BDB}"/>
    <cellStyle name="Comma 33 2 4" xfId="3576" xr:uid="{F049AB17-A063-48C5-BE14-908DB37A05AC}"/>
    <cellStyle name="Comma 33 3" xfId="2267" xr:uid="{B8F97E16-95BD-4090-B837-DEC2F8281227}"/>
    <cellStyle name="Comma 33 3 2" xfId="2496" xr:uid="{8F4172B0-0896-41C5-8072-FBE59E20DD6F}"/>
    <cellStyle name="Comma 33 3 3" xfId="4498" xr:uid="{DE0A0817-D6A8-4055-B7E1-AD06D6CD0A36}"/>
    <cellStyle name="Comma 33 4" xfId="2400" xr:uid="{04716EE4-EE74-4671-A41A-2CD26E5714BE}"/>
    <cellStyle name="Comma 33 4 2" xfId="4208" xr:uid="{E8AB1571-4873-4E89-9072-4B8DCC30D87B}"/>
    <cellStyle name="Comma 33 5" xfId="2759" xr:uid="{CF580BD3-8062-468A-8DA5-21B632CC3B4E}"/>
    <cellStyle name="Comma 33 6" xfId="2132" xr:uid="{D6F4E660-1D81-49D8-9597-2B14054EED40}"/>
    <cellStyle name="Comma 33 7" xfId="3075" xr:uid="{18FB371F-B3ED-4EBE-B9F0-FAEB4475192C}"/>
    <cellStyle name="Comma 33 8" xfId="5318" xr:uid="{5ABF4F4A-DE74-42D4-BCAF-09462551319A}"/>
    <cellStyle name="Comma 33 9" xfId="1603" xr:uid="{EEA737D4-0A4C-4FED-975E-C4BF7BD77982}"/>
    <cellStyle name="Comma 34" xfId="599" xr:uid="{4D940FB7-1E7C-4C53-BC1B-34FDEB39FFE1}"/>
    <cellStyle name="Comma 34 10" xfId="1607" xr:uid="{AD5ECD84-FFB6-498B-95BE-A46B28BDCE99}"/>
    <cellStyle name="Comma 34 2" xfId="1806" xr:uid="{FCB308AA-FB7F-43C3-8B71-10ED8B4EE17A}"/>
    <cellStyle name="Comma 34 2 2" xfId="1856" xr:uid="{11486794-3D61-4942-8F2E-F1025344D3BA}"/>
    <cellStyle name="Comma 34 2 2 2" xfId="2943" xr:uid="{0DCAC8C5-59D4-46FF-9E84-2EBFD6C57E9D}"/>
    <cellStyle name="Comma 34 2 2 2 2" xfId="5842" xr:uid="{BA545B3D-F1FD-47E6-AEEB-439F43FC844D}"/>
    <cellStyle name="Comma 34 2 2 2 2 2" xfId="6876" xr:uid="{6B941124-D96B-419F-B8F4-A26F2F5F2C0F}"/>
    <cellStyle name="Comma 34 2 2 2 3" xfId="6326" xr:uid="{8C95D47B-38C5-49AC-9BE8-9CA61B9BEC9B}"/>
    <cellStyle name="Comma 34 2 2 3" xfId="2527" xr:uid="{BDCC890B-53F5-4F3F-9432-4A5C8AE5708A}"/>
    <cellStyle name="Comma 34 2 2 3 2" xfId="6681" xr:uid="{D4019E74-A94F-41B6-BEFE-A653D443B562}"/>
    <cellStyle name="Comma 34 2 2 3 3" xfId="5722" xr:uid="{8F19E898-B92D-4DA4-AC1E-3B4DFCF6F431}"/>
    <cellStyle name="Comma 34 2 2 4" xfId="4363" xr:uid="{BDAB5373-8A0E-41F2-855E-918450F9A1B1}"/>
    <cellStyle name="Comma 34 2 2 4 2" xfId="6504" xr:uid="{B2437F79-B1F1-481C-8F4B-573EE5FC2BD8}"/>
    <cellStyle name="Comma 34 2 2 5" xfId="5181" xr:uid="{060E4E0D-8377-4D5B-AE02-8BBDAF6B2573}"/>
    <cellStyle name="Comma 34 2 2 6" xfId="5410" xr:uid="{B1501E3E-7EB5-4420-AC4C-1D9B9B689E50}"/>
    <cellStyle name="Comma 34 2 3" xfId="2895" xr:uid="{CA8B4FA7-C94A-47B2-8418-746FBAB24E63}"/>
    <cellStyle name="Comma 34 2 3 2" xfId="4841" xr:uid="{F57962D6-B128-445A-9B9C-F1737AE57CE9}"/>
    <cellStyle name="Comma 34 2 3 2 2" xfId="6833" xr:uid="{D713BAE1-64DA-483E-9A52-00CB28F08BEF}"/>
    <cellStyle name="Comma 34 2 3 2 3" xfId="5822" xr:uid="{E39D41B1-5BFC-4962-A64C-51E515915A17}"/>
    <cellStyle name="Comma 34 2 3 3" xfId="6292" xr:uid="{8B06B93E-E277-4884-B6FD-EB11C547A553}"/>
    <cellStyle name="Comma 34 2 4" xfId="2298" xr:uid="{63210BBF-A45C-402F-8B7C-240C4E4441B9}"/>
    <cellStyle name="Comma 34 2 4 2" xfId="4329" xr:uid="{49F2618F-9F97-4F4B-B5B7-C295235B7D98}"/>
    <cellStyle name="Comma 34 2 5" xfId="3621" xr:uid="{94228B2F-D415-41D3-AC37-EE1E0BC0A953}"/>
    <cellStyle name="Comma 34 2 5 2" xfId="6466" xr:uid="{D6A08301-576B-48A9-877F-BD22E47A20C2}"/>
    <cellStyle name="Comma 34 2 5 3" xfId="5592" xr:uid="{9EC7E1E8-6FB3-432B-8C66-F56173759F77}"/>
    <cellStyle name="Comma 34 2 6" xfId="5134" xr:uid="{454635CE-3ED9-4670-8D8B-39008F6D96AF}"/>
    <cellStyle name="Comma 34 2 7" xfId="5352" xr:uid="{AFD9D9EC-F76A-4F51-8798-6FB1833259F8}"/>
    <cellStyle name="Comma 34 3" xfId="1823" xr:uid="{AF04BA77-D7E1-4590-A645-8372841EB73F}"/>
    <cellStyle name="Comma 34 3 2" xfId="1872" xr:uid="{FDDDCBE9-3B99-4745-97C4-6759C377F124}"/>
    <cellStyle name="Comma 34 3 2 2" xfId="2959" xr:uid="{9FB94134-F34B-44ED-90D9-8E2EA9FEF081}"/>
    <cellStyle name="Comma 34 3 2 2 2" xfId="5851" xr:uid="{8918748A-6C4B-46E9-BD1E-5D496485632E}"/>
    <cellStyle name="Comma 34 3 2 2 2 2" xfId="6892" xr:uid="{D02532B5-F8A2-4122-928B-B0474FB98F60}"/>
    <cellStyle name="Comma 34 3 2 2 3" xfId="6342" xr:uid="{004ED0C5-EE83-41CD-8FFF-FCC216D43D20}"/>
    <cellStyle name="Comma 34 3 2 3" xfId="4379" xr:uid="{A7A906A7-D230-44B9-9A24-AAEDE3A9E39B}"/>
    <cellStyle name="Comma 34 3 2 3 2" xfId="6692" xr:uid="{625DADA5-685B-428C-B071-4F47A9D0123F}"/>
    <cellStyle name="Comma 34 3 2 4" xfId="5197" xr:uid="{1DA3D9A7-22E9-4445-8D96-B333B20DF4E9}"/>
    <cellStyle name="Comma 34 3 2 4 2" xfId="6520" xr:uid="{0AFC137B-E515-4200-981F-EF686589DC22}"/>
    <cellStyle name="Comma 34 3 2 5" xfId="6170" xr:uid="{96530C5D-8CFA-4128-B77D-B47C97386FBA}"/>
    <cellStyle name="Comma 34 3 3" xfId="2911" xr:uid="{89BFC210-81AC-4199-9650-7768079A0521}"/>
    <cellStyle name="Comma 34 3 3 2" xfId="4967" xr:uid="{B60D7567-6485-474F-BABC-65C866A9170C}"/>
    <cellStyle name="Comma 34 3 3 2 2" xfId="6849" xr:uid="{17070E77-B3EB-4001-BD76-71049F0D54C3}"/>
    <cellStyle name="Comma 34 3 3 2 3" xfId="5829" xr:uid="{9F5D3D3B-4441-4F66-A527-0F087F153857}"/>
    <cellStyle name="Comma 34 3 3 3" xfId="6303" xr:uid="{BF73755B-950C-44AF-A515-E5C7A6F8D959}"/>
    <cellStyle name="Comma 34 3 4" xfId="2432" xr:uid="{2028B8E2-A375-4768-AA8A-8FABC2EB45A5}"/>
    <cellStyle name="Comma 34 3 4 2" xfId="4339" xr:uid="{B3FBC3B9-F800-45FF-9040-BD6490EB1812}"/>
    <cellStyle name="Comma 34 3 5" xfId="3927" xr:uid="{25E76307-DD98-4E22-AE87-D0EC2FC471EE}"/>
    <cellStyle name="Comma 34 3 5 2" xfId="6479" xr:uid="{E3D64D13-A3DD-4F72-9920-6AD38DF3F62B}"/>
    <cellStyle name="Comma 34 3 5 3" xfId="5595" xr:uid="{96B05517-397C-4CE0-896C-4C4E12CB5F0E}"/>
    <cellStyle name="Comma 34 3 6" xfId="5150" xr:uid="{583A1D0A-64CA-4893-ABF8-A8D977C9CC42}"/>
    <cellStyle name="Comma 34 3 7" xfId="5380" xr:uid="{4E2D261A-47A4-4E4A-8D1F-D5F03BD58C21}"/>
    <cellStyle name="Comma 34 4" xfId="1840" xr:uid="{2D382348-6CD4-4600-AA55-EEFDDEF338BD}"/>
    <cellStyle name="Comma 34 4 2" xfId="2928" xr:uid="{2FA069F4-C069-4CF0-9842-C12B868DCB38}"/>
    <cellStyle name="Comma 34 4 2 2" xfId="5836" xr:uid="{2BA0687E-D715-40F5-998F-36936D6A4396}"/>
    <cellStyle name="Comma 34 4 2 2 2" xfId="6864" xr:uid="{1CD7DE67-D0A1-40AC-B155-161AA8EC2D06}"/>
    <cellStyle name="Comma 34 4 2 3" xfId="6317" xr:uid="{33997822-8B24-4333-A991-67E8229C3D3D}"/>
    <cellStyle name="Comma 34 4 3" xfId="4354" xr:uid="{2D4190D7-4781-47EC-8653-C55969FD2CDD}"/>
    <cellStyle name="Comma 34 4 3 2" xfId="6675" xr:uid="{1F308103-7E62-433B-889F-70141A412536}"/>
    <cellStyle name="Comma 34 4 4" xfId="5166" xr:uid="{5CF78DE8-140E-4C70-8BDE-CA626F95A5B2}"/>
    <cellStyle name="Comma 34 4 4 2" xfId="6494" xr:uid="{9AB71141-8E2F-4272-BA56-BAEB0872BB93}"/>
    <cellStyle name="Comma 34 4 5" xfId="6157" xr:uid="{1948D6BC-BDBE-4206-B402-39E5CA79ECA3}"/>
    <cellStyle name="Comma 34 5" xfId="1776" xr:uid="{6F55CBEC-819B-41E5-92AC-6234C020997F}"/>
    <cellStyle name="Comma 34 5 2" xfId="2872" xr:uid="{49FF59B6-74F3-4060-84DB-88D240068947}"/>
    <cellStyle name="Comma 34 5 2 2" xfId="5816" xr:uid="{AE9BD41E-BDE9-41E3-BF23-5157C18C5A70}"/>
    <cellStyle name="Comma 34 5 2 2 2" xfId="6819" xr:uid="{70002AC5-D4BA-490A-AC76-B01F152B508C}"/>
    <cellStyle name="Comma 34 5 2 3" xfId="6280" xr:uid="{45AFB795-D4B0-4E9F-B1ED-FEB72C240C67}"/>
    <cellStyle name="Comma 34 5 3" xfId="4311" xr:uid="{ECD17F03-274B-40FE-A1B6-76488E356F5C}"/>
    <cellStyle name="Comma 34 5 3 2" xfId="6652" xr:uid="{C4391E4D-1838-4FA5-AD4F-EC3245E7106D}"/>
    <cellStyle name="Comma 34 5 4" xfId="5119" xr:uid="{179B9FAE-6A1A-4D48-8E67-2EF64A05DD92}"/>
    <cellStyle name="Comma 34 5 4 2" xfId="6452" xr:uid="{A4360305-759C-44B8-9761-3261B87F9C72}"/>
    <cellStyle name="Comma 34 5 5" xfId="6143" xr:uid="{8E5EBD23-1B12-4743-AB5C-CF5D3470DCE7}"/>
    <cellStyle name="Comma 34 6" xfId="2761" xr:uid="{DB3984A0-EDA4-4A55-8049-C7E5BA3A3D35}"/>
    <cellStyle name="Comma 34 6 2" xfId="4525" xr:uid="{01C7973E-732E-48C3-8660-319FE5CDEB26}"/>
    <cellStyle name="Comma 34 7" xfId="2171" xr:uid="{AB84253D-293E-4CD5-81C0-AEC955AED59A}"/>
    <cellStyle name="Comma 34 7 2" xfId="4210" xr:uid="{1BCA0FB9-5692-47A1-A7D6-825098147171}"/>
    <cellStyle name="Comma 34 8" xfId="3118" xr:uid="{5800CBCD-26E0-4EC3-A41E-9CA6924CFB78}"/>
    <cellStyle name="Comma 34 9" xfId="5321" xr:uid="{294E2F9D-EC48-4C21-B177-B0D5B06E47A4}"/>
    <cellStyle name="Comma 35" xfId="458" xr:uid="{CDD179C9-6BC5-4AED-A6A7-3099BE5B1A9F}"/>
    <cellStyle name="Comma 35 2" xfId="2266" xr:uid="{F8B69658-C975-4028-8C57-054897252CA7}"/>
    <cellStyle name="Comma 35 2 2" xfId="2495" xr:uid="{E00857C0-A9E7-4F79-B528-3941711B0921}"/>
    <cellStyle name="Comma 35 2 2 2" xfId="4846" xr:uid="{827C63F7-BC68-4762-8697-36BE80A3D1E5}"/>
    <cellStyle name="Comma 35 2 3" xfId="3625" xr:uid="{DA0AA490-F55D-4534-A4BA-281BED059D24}"/>
    <cellStyle name="Comma 35 3" xfId="2399" xr:uid="{0148C96A-4854-49FC-86F3-16FB34FA0C34}"/>
    <cellStyle name="Comma 35 3 2" xfId="3931" xr:uid="{860681D7-18CD-477F-A30B-F0CC28694AB4}"/>
    <cellStyle name="Comma 35 4" xfId="2763" xr:uid="{AA993557-E183-4A62-BE52-0EC86F5101A8}"/>
    <cellStyle name="Comma 35 5" xfId="2128" xr:uid="{AA6453C4-A47A-453E-9D12-15F8F895E9FF}"/>
    <cellStyle name="Comma 35 6" xfId="1609" xr:uid="{D13CF44E-CF0C-4DAD-B485-6D0D1BE4E12A}"/>
    <cellStyle name="Comma 36" xfId="603" xr:uid="{26CD8436-DEEE-40FF-8970-280E508D1A38}"/>
    <cellStyle name="Comma 36 2" xfId="2303" xr:uid="{D4EFEAE0-B2FD-48A9-98FD-0849BD983A87}"/>
    <cellStyle name="Comma 36 2 2" xfId="2532" xr:uid="{1D3F1BB7-8826-4897-BDD8-5F1CF205DEF1}"/>
    <cellStyle name="Comma 36 2 2 2" xfId="4848" xr:uid="{4F903667-BBD0-433C-B2E4-92CE40FB0DD0}"/>
    <cellStyle name="Comma 36 2 3" xfId="3627" xr:uid="{7FD0E818-ED26-4262-9238-D40E66E26A45}"/>
    <cellStyle name="Comma 36 2 4" xfId="5666" xr:uid="{E36739C2-BE8A-4436-B616-F5687AC6B090}"/>
    <cellStyle name="Comma 36 3" xfId="2437" xr:uid="{B809DAF7-6CCF-4907-953F-E3DA402B53BC}"/>
    <cellStyle name="Comma 36 3 2" xfId="3932" xr:uid="{E7534ECD-DEF8-4AEA-8388-045152222CFD}"/>
    <cellStyle name="Comma 36 3 3" xfId="5524" xr:uid="{E786C81A-81A5-4E7E-9119-5F834AD99D73}"/>
    <cellStyle name="Comma 36 4" xfId="2689" xr:uid="{467A7181-D45C-49DB-8AB4-102FA4B7D69D}"/>
    <cellStyle name="Comma 36 4 2" xfId="4530" xr:uid="{058A1D9B-1D36-4935-8DE9-0D4470D37061}"/>
    <cellStyle name="Comma 36 5" xfId="2192" xr:uid="{768C7D4F-1676-4070-9C06-4AB7ABD7F512}"/>
    <cellStyle name="Comma 36 5 2" xfId="4107" xr:uid="{F3EA7E4F-DB19-43B6-A4B8-17C2078B1585}"/>
    <cellStyle name="Comma 36 6" xfId="3122" xr:uid="{6C5D84AE-444F-4371-A5D3-D8E8A0AE03CA}"/>
    <cellStyle name="Comma 36 7" xfId="1266" xr:uid="{9C64EFAC-B609-4EAD-A1E3-70E8FD24B405}"/>
    <cellStyle name="Comma 37" xfId="586" xr:uid="{B17C7C03-D3F7-47C3-9377-9D0933626A76}"/>
    <cellStyle name="Comma 37 2" xfId="2771" xr:uid="{5987D8BB-11B9-4AE8-81D0-DC20FD03B627}"/>
    <cellStyle name="Comma 37 2 2" xfId="4849" xr:uid="{95DA4855-473D-4DEC-A52E-64708F311213}"/>
    <cellStyle name="Comma 37 2 3" xfId="3628" xr:uid="{F66B0091-721C-4A2B-9765-B2E6CF0C5F4E}"/>
    <cellStyle name="Comma 37 3" xfId="2197" xr:uid="{7FA5B821-0E23-4B1E-98E4-021010C4B6B2}"/>
    <cellStyle name="Comma 37 3 2" xfId="3933" xr:uid="{26347898-F058-4BF4-B8ED-4C17465D52D9}"/>
    <cellStyle name="Comma 37 3 3" xfId="5553" xr:uid="{0DA61C09-F869-4DAD-920F-B119C46E8848}"/>
    <cellStyle name="Comma 37 4" xfId="4621" xr:uid="{D1FD3A94-A9A3-40C8-8E42-9FC7A425086E}"/>
    <cellStyle name="Comma 37 5" xfId="4217" xr:uid="{3D0B5ACA-13A4-40B2-8D14-6F78E823F91F}"/>
    <cellStyle name="Comma 37 6" xfId="3213" xr:uid="{19AC3031-31E3-4D70-AD50-5C8C953B5B91}"/>
    <cellStyle name="Comma 37 7" xfId="1621" xr:uid="{3C8F4D31-823F-4D88-A83D-CDF41E3963B1}"/>
    <cellStyle name="Comma 38" xfId="605" xr:uid="{928351B3-60B8-4454-AE78-BF0B60515A8C}"/>
    <cellStyle name="Comma 38 2" xfId="2773" xr:uid="{3C0F1CAE-5C40-4AE1-A264-42E0BDF8BF51}"/>
    <cellStyle name="Comma 38 2 2" xfId="4628" xr:uid="{9E1C6236-7570-4166-BFFB-CA103499CABC}"/>
    <cellStyle name="Comma 38 2 2 2" xfId="5956" xr:uid="{781E3C9D-77E2-49D9-9AAF-FEA9DB5EF84D}"/>
    <cellStyle name="Comma 38 3" xfId="2198" xr:uid="{9365A0DC-2135-467E-8B61-FC3DB108BD86}"/>
    <cellStyle name="Comma 38 3 2" xfId="4220" xr:uid="{3A3F0D0E-4246-4078-BB05-4A0E5DB107E0}"/>
    <cellStyle name="Comma 38 4" xfId="3220" xr:uid="{04B0AE94-1394-4657-AA6D-34DED4528BAE}"/>
    <cellStyle name="Comma 38 5" xfId="1624" xr:uid="{E0619907-5157-4457-8773-766E1E12421B}"/>
    <cellStyle name="Comma 39" xfId="429" xr:uid="{654AB244-9141-4D65-9F5A-FAA29C706A3D}"/>
    <cellStyle name="Comma 39 10" xfId="1628" xr:uid="{550B50EA-1C21-42FA-86D4-AB4A7F23FD59}"/>
    <cellStyle name="Comma 39 2" xfId="1648" xr:uid="{E7A0D9EC-05BF-43D8-8435-9215847C5CAE}"/>
    <cellStyle name="Comma 39 2 2" xfId="1681" xr:uid="{3D11403D-7345-4943-93A8-74B348C7CFCB}"/>
    <cellStyle name="Comma 39 2 2 2" xfId="2818" xr:uid="{25F6F9F7-C132-4018-8BEF-A32DBD074B2C}"/>
    <cellStyle name="Comma 39 2 2 2 2" xfId="5794" xr:uid="{2808C60C-908B-4735-9044-EFD71E8DA740}"/>
    <cellStyle name="Comma 39 2 2 2 2 2" xfId="6788" xr:uid="{6FA7C694-199D-4368-B710-0277D9A43889}"/>
    <cellStyle name="Comma 39 2 2 2 3" xfId="6249" xr:uid="{AB99573C-62CB-407D-964A-5F4521C9CB22}"/>
    <cellStyle name="Comma 39 2 2 3" xfId="2533" xr:uid="{60BBC856-E671-4542-861E-AE797C9D08FF}"/>
    <cellStyle name="Comma 39 2 2 3 2" xfId="6626" xr:uid="{F0A6CA24-D241-4FF7-B3E3-556A27CB3471}"/>
    <cellStyle name="Comma 39 2 2 4" xfId="4265" xr:uid="{57C7AE2C-05E2-45A3-894A-C0B75123EA41}"/>
    <cellStyle name="Comma 39 2 2 4 2" xfId="6421" xr:uid="{204CFBBA-3EA2-43B9-940C-A5FC821A8963}"/>
    <cellStyle name="Comma 39 2 2 5" xfId="5088" xr:uid="{206C325A-E508-4441-A153-A472D27D3DC7}"/>
    <cellStyle name="Comma 39 2 3" xfId="2791" xr:uid="{783D2F34-D4EC-4389-8C7D-44752EFB8B2D}"/>
    <cellStyle name="Comma 39 2 3 2" xfId="5768" xr:uid="{735314B4-E807-4B45-B672-697A36199C02}"/>
    <cellStyle name="Comma 39 2 3 2 2" xfId="6762" xr:uid="{859304EE-F432-4D36-9AC8-C0CDF3A4D4F1}"/>
    <cellStyle name="Comma 39 2 3 3" xfId="6223" xr:uid="{56D3F047-A970-4F5F-95A7-92955A45D8A6}"/>
    <cellStyle name="Comma 39 2 4" xfId="2304" xr:uid="{8E98CFF5-3012-402F-A14A-6C455F4045B9}"/>
    <cellStyle name="Comma 39 2 4 2" xfId="6602" xr:uid="{05062AED-B19E-4067-B0D8-09580AEC2197}"/>
    <cellStyle name="Comma 39 2 5" xfId="4238" xr:uid="{0E16EA47-3EC9-435B-9141-B1D6B2548F3F}"/>
    <cellStyle name="Comma 39 2 5 2" xfId="6395" xr:uid="{634B9D41-FF39-45EC-B211-B28A1B7A27D6}"/>
    <cellStyle name="Comma 39 2 6" xfId="5062" xr:uid="{B6A03005-2951-4912-AD34-20C7CD7D5760}"/>
    <cellStyle name="Comma 39 3" xfId="1665" xr:uid="{31554B1A-D6F8-4BCD-BAD5-59EC0053A8A1}"/>
    <cellStyle name="Comma 39 3 2" xfId="1691" xr:uid="{E523627D-44EA-41AD-AF78-A44CFC4ED18F}"/>
    <cellStyle name="Comma 39 3 2 2" xfId="2828" xr:uid="{E22EC6B5-B614-4AD8-BCEB-5CB2EC3B9E3F}"/>
    <cellStyle name="Comma 39 3 2 2 2" xfId="5804" xr:uid="{253E22B3-BC0C-4618-92C5-C4E649BB22FF}"/>
    <cellStyle name="Comma 39 3 2 2 2 2" xfId="6798" xr:uid="{C66463FB-440C-4B0C-91E7-79ED35C63384}"/>
    <cellStyle name="Comma 39 3 2 2 3" xfId="6259" xr:uid="{E34626A7-A2C3-4B8D-B71B-38C48BB069A1}"/>
    <cellStyle name="Comma 39 3 2 3" xfId="4275" xr:uid="{475C8B9B-F2C7-4EFD-BE87-6DE5CC9BB842}"/>
    <cellStyle name="Comma 39 3 2 3 2" xfId="6636" xr:uid="{3BA8AF5E-E06F-4574-A407-CA69D402BC1D}"/>
    <cellStyle name="Comma 39 3 2 4" xfId="5098" xr:uid="{4BB2F838-3ED3-4243-A348-680C4296E663}"/>
    <cellStyle name="Comma 39 3 2 4 2" xfId="6431" xr:uid="{011DDD10-1D63-4D09-A2E4-8CDEB6F22B1E}"/>
    <cellStyle name="Comma 39 3 2 5" xfId="6131" xr:uid="{6E0BFF08-D22C-47A3-9947-F0928660287D}"/>
    <cellStyle name="Comma 39 3 3" xfId="2802" xr:uid="{B94F4802-B517-4A68-93E3-4B156C5FDBF8}"/>
    <cellStyle name="Comma 39 3 3 2" xfId="5778" xr:uid="{6585767A-861B-4FD8-8AD1-30F64A2657B7}"/>
    <cellStyle name="Comma 39 3 3 2 2" xfId="6772" xr:uid="{6607FF51-7AF5-4C3E-9ACE-B31021C6BD21}"/>
    <cellStyle name="Comma 39 3 3 3" xfId="6233" xr:uid="{E40B094E-7E38-4619-97FA-D9A0CC2B0E97}"/>
    <cellStyle name="Comma 39 3 4" xfId="2439" xr:uid="{2DFB09FF-247A-48AC-B10B-4BF58A7DE4C3}"/>
    <cellStyle name="Comma 39 3 4 2" xfId="6611" xr:uid="{7360687C-7CFD-4D05-9BF4-7785DE5CBFB9}"/>
    <cellStyle name="Comma 39 3 5" xfId="4249" xr:uid="{137C8FCB-D486-427F-97C6-F301FF5DA603}"/>
    <cellStyle name="Comma 39 3 5 2" xfId="6405" xr:uid="{0DE060D7-2E3D-4BE8-9E79-715A08BF734A}"/>
    <cellStyle name="Comma 39 3 6" xfId="5072" xr:uid="{ADB638A1-9C67-4935-BA0D-E51F3946F033}"/>
    <cellStyle name="Comma 39 4" xfId="1641" xr:uid="{8AEC6E6C-CD6E-44FD-B600-C2A95847D6CC}"/>
    <cellStyle name="Comma 39 4 2" xfId="2786" xr:uid="{379DBFFE-6B67-4196-845F-128B741876C0}"/>
    <cellStyle name="Comma 39 4 2 2" xfId="5763" xr:uid="{535E1CB8-A6D3-489F-81DC-855B743CAE5F}"/>
    <cellStyle name="Comma 39 4 2 2 2" xfId="6757" xr:uid="{A9442EFF-30C6-4C30-A3AB-C00A5A502541}"/>
    <cellStyle name="Comma 39 4 2 3" xfId="6218" xr:uid="{1F24B79A-E472-47AB-812E-F3928BADF721}"/>
    <cellStyle name="Comma 39 4 3" xfId="4231" xr:uid="{6EAB1F0C-2EA4-4D0E-9229-16FD9F81A76C}"/>
    <cellStyle name="Comma 39 4 3 2" xfId="6597" xr:uid="{BB4FA02E-C5D5-4E17-AD27-84FDD4A43BC7}"/>
    <cellStyle name="Comma 39 4 4" xfId="5057" xr:uid="{AAA906F4-BAF1-43CE-9CFA-E5FBFC582F9A}"/>
    <cellStyle name="Comma 39 4 4 2" xfId="6390" xr:uid="{62ADEE14-1B76-41D2-96FA-AB65CE0944C6}"/>
    <cellStyle name="Comma 39 4 5" xfId="6100" xr:uid="{F16FC7EA-664D-4FC0-933F-B5F48434D43F}"/>
    <cellStyle name="Comma 39 5" xfId="1676" xr:uid="{99ABB077-FAB2-4881-9724-C578243A9A8E}"/>
    <cellStyle name="Comma 39 5 2" xfId="2813" xr:uid="{560B5990-A115-44FB-90BD-5192CF59DB26}"/>
    <cellStyle name="Comma 39 5 2 2" xfId="5789" xr:uid="{BE98F9AF-04C2-49CE-9490-17DB844F959E}"/>
    <cellStyle name="Comma 39 5 2 2 2" xfId="6783" xr:uid="{F58D1AFA-DB52-4ABE-8A62-B7F89D4946A3}"/>
    <cellStyle name="Comma 39 5 2 3" xfId="6244" xr:uid="{BA3D105A-71D7-4B2B-82E9-365010D6279C}"/>
    <cellStyle name="Comma 39 5 3" xfId="4260" xr:uid="{A30707B2-9A50-4C12-98E4-29EEC18F4A76}"/>
    <cellStyle name="Comma 39 5 3 2" xfId="6621" xr:uid="{64875896-3675-4931-ADC0-48383C9FBD5F}"/>
    <cellStyle name="Comma 39 5 4" xfId="5083" xr:uid="{AC3116BA-2F7F-4B13-9BF2-FBA74423F955}"/>
    <cellStyle name="Comma 39 5 4 2" xfId="6416" xr:uid="{A1495B41-AFA9-4AC6-BA0C-C50D1C158E52}"/>
    <cellStyle name="Comma 39 5 5" xfId="6118" xr:uid="{DF621CF0-9EEF-4DBC-898E-77AC1D77D377}"/>
    <cellStyle name="Comma 39 6" xfId="2775" xr:uid="{079D8794-B781-4B01-A000-144CE2E7C248}"/>
    <cellStyle name="Comma 39 6 2" xfId="4694" xr:uid="{A4DF14E0-ECE3-4BDF-B236-463A5BDE7511}"/>
    <cellStyle name="Comma 39 6 2 2" xfId="6750" xr:uid="{D4849F32-A516-43F5-97DF-EF5FA4931013}"/>
    <cellStyle name="Comma 39 6 2 3" xfId="5756" xr:uid="{0F96AED9-020A-412C-BA0F-291E6DAB0D40}"/>
    <cellStyle name="Comma 39 6 3" xfId="6211" xr:uid="{7EE8B3F4-AD28-4B99-BC41-C1E02B6405BD}"/>
    <cellStyle name="Comma 39 7" xfId="2199" xr:uid="{D147E6E2-FFEE-4E21-AD83-5741F1E95992}"/>
    <cellStyle name="Comma 39 7 2" xfId="4222" xr:uid="{9921DA04-9FDC-4073-A22E-D0CFDE99FBCA}"/>
    <cellStyle name="Comma 39 8" xfId="3283" xr:uid="{739E04DD-872F-465D-B399-152F7987310F}"/>
    <cellStyle name="Comma 39 8 2" xfId="6383" xr:uid="{A7597DCC-A74E-477E-A751-23374888C527}"/>
    <cellStyle name="Comma 39 8 3" xfId="5555" xr:uid="{F542A1C6-70D8-4676-9C31-C143A7087C2B}"/>
    <cellStyle name="Comma 39 9" xfId="5050" xr:uid="{1C165767-929C-4AAE-BC50-490E1DDB3AC0}"/>
    <cellStyle name="Comma 4" xfId="31" xr:uid="{ECA4F3BB-DF55-4042-B6FF-E76AC01819D5}"/>
    <cellStyle name="Comma 4 10" xfId="850" xr:uid="{9540F1A9-F3A9-484F-8DBA-5D6A920B6922}"/>
    <cellStyle name="Comma 4 11" xfId="7115" xr:uid="{FACED4EB-22CC-4E92-B85F-3856A0CA574C}"/>
    <cellStyle name="Comma 4 2" xfId="81" xr:uid="{4C41CB75-764C-4BC9-9E31-1F728C98CD82}"/>
    <cellStyle name="Comma 4 2 11 5" xfId="7066" xr:uid="{9933B476-DAC5-4388-B58F-D868CCBC7227}"/>
    <cellStyle name="Comma 4 2 2" xfId="1147" xr:uid="{70771474-AE11-46FD-9281-71B7EA68BEF0}"/>
    <cellStyle name="Comma 4 2 2 2" xfId="2651" xr:uid="{FE0263F4-D9AD-4369-BA3F-C939781CE6D1}"/>
    <cellStyle name="Comma 4 2 2 2 2" xfId="4745" xr:uid="{44052C14-9F1D-4CCC-A697-180499B51D36}"/>
    <cellStyle name="Comma 4 2 2 3" xfId="4055" xr:uid="{8E88EF15-3A65-4044-9EEA-EE84B3E4AE8D}"/>
    <cellStyle name="Comma 4 2 2 4" xfId="3460" xr:uid="{840C56DD-2D56-49F2-A7B5-01728B962117}"/>
    <cellStyle name="Comma 4 2 2 5" xfId="7215" xr:uid="{EDA43A06-FE5A-4860-84DD-DC1C077CA27B}"/>
    <cellStyle name="Comma 4 2 3" xfId="2583" xr:uid="{92F402C1-C379-4B14-9DB7-FA393F296018}"/>
    <cellStyle name="Comma 4 2 3 2" xfId="4649" xr:uid="{F455AB1A-BEDC-437D-B4EA-6D33F69EC8A1}"/>
    <cellStyle name="Comma 4 2 3 3" xfId="7065" xr:uid="{45883FB0-B6F1-4C5A-98B1-EF66F749D1DA}"/>
    <cellStyle name="Comma 4 2 4" xfId="1976" xr:uid="{97969EB7-59F1-4D5D-AFB1-0F50C417018C}"/>
    <cellStyle name="Comma 4 2 4 2" xfId="5492" xr:uid="{C4EB89BA-95F9-4BA0-AB7E-6BCCF1E2F8FB}"/>
    <cellStyle name="Comma 4 2 5" xfId="4444" xr:uid="{BF93912C-0CCA-4DD0-84A6-306A633F385D}"/>
    <cellStyle name="Comma 4 2 5 2" xfId="6012" xr:uid="{B92A9EBD-DB8D-494E-A255-529D49AF929C}"/>
    <cellStyle name="Comma 4 2 6" xfId="3965" xr:uid="{EEAF8598-6B9E-43E9-923B-3080C1F0137F}"/>
    <cellStyle name="Comma 4 2 7" xfId="698" xr:uid="{792518EC-DBC0-4404-B2F6-2B2F102ED39E}"/>
    <cellStyle name="Comma 4 2 8" xfId="7277" xr:uid="{8B185E86-B30F-4B10-B8D9-6586B3F31B01}"/>
    <cellStyle name="Comma 4 2 9" xfId="7268" xr:uid="{2D3B865A-13D1-4409-9AE5-466764D9A202}"/>
    <cellStyle name="Comma 4 3" xfId="82" xr:uid="{072B7FC7-2C1A-4BFA-BE80-333F62711EB6}"/>
    <cellStyle name="Comma 4 3 2" xfId="1465" xr:uid="{419E0887-28C4-482C-B5F6-ADE1FF28196A}"/>
    <cellStyle name="Comma 4 3 3" xfId="2623" xr:uid="{E646176C-06C4-4B46-BE4E-5EB87F7C048B}"/>
    <cellStyle name="Comma 4 3 3 2" xfId="5948" xr:uid="{28982CC2-FAC1-4E3F-A827-13FC85CF2F4E}"/>
    <cellStyle name="Comma 4 3 4" xfId="1058" xr:uid="{F643CF53-7C2C-44A5-9D75-3FB371F4B9F7}"/>
    <cellStyle name="Comma 4 3 4 2" xfId="5866" xr:uid="{16DE7792-E72F-45F4-A72D-C1BA375CFC6A}"/>
    <cellStyle name="Comma 4 3 4 3" xfId="5507" xr:uid="{B59D93D4-9A50-40FB-B032-9025106AB319}"/>
    <cellStyle name="Comma 4 3 5" xfId="719" xr:uid="{27834EA3-E609-4CA1-B46D-3E7EC29B1D53}"/>
    <cellStyle name="Comma 4 3 6" xfId="7158" xr:uid="{61494695-5D62-4B03-87C5-A239FA6F047D}"/>
    <cellStyle name="Comma 4 3 7" xfId="7254" xr:uid="{BB01960F-68DE-4C91-9F7B-85011D898053}"/>
    <cellStyle name="Comma 4 4" xfId="83" xr:uid="{25A673F6-9A96-4294-BB68-8204E334EE53}"/>
    <cellStyle name="Comma 4 4 2" xfId="4650" xr:uid="{9CE89EED-AC16-4CB2-AD5A-927C418044DE}"/>
    <cellStyle name="Comma 4 4 3" xfId="4112" xr:uid="{9DFFBF01-96C4-411B-9DB8-5408D322F170}"/>
    <cellStyle name="Comma 4 4 4" xfId="3249" xr:uid="{8807B3E0-99EC-4242-8BE8-FF97D20C71F2}"/>
    <cellStyle name="Comma 4 4 5" xfId="1284" xr:uid="{9C950463-0A4C-4A95-99F8-86802BCA030E}"/>
    <cellStyle name="Comma 4 4 6" xfId="7195" xr:uid="{BA11DD85-B83C-4D03-986A-E1F91214F7B3}"/>
    <cellStyle name="Comma 4 4 7" xfId="7283" xr:uid="{5322B12C-9882-4E4D-99BF-A8E3E2F86054}"/>
    <cellStyle name="Comma 4 5" xfId="80" xr:uid="{C1C96ABC-002C-478A-928B-25FEE8BE6C2F}"/>
    <cellStyle name="Comma 4 5 2" xfId="571" xr:uid="{99FE6787-7B61-489F-8CE7-908DADF5F258}"/>
    <cellStyle name="Comma 4 5 2 2" xfId="5977" xr:uid="{77D71F97-D4EF-4D60-9CD7-BA20BDB8BF9B}"/>
    <cellStyle name="Comma 4 5 2 3" xfId="2835" xr:uid="{96A14566-11CB-4420-948E-C3C424351544}"/>
    <cellStyle name="Comma 4 5 3" xfId="5575" xr:uid="{0DB89FE1-6E86-4E55-949A-ACA950C42307}"/>
    <cellStyle name="Comma 4 5 3 2" xfId="5897" xr:uid="{2B502BA0-1B8E-4E75-9401-0F6AB3813CAE}"/>
    <cellStyle name="Comma 4 5 4" xfId="1698" xr:uid="{16628A08-E9FE-4FD0-9E99-98A3A9201E7D}"/>
    <cellStyle name="Comma 4 6" xfId="311" xr:uid="{5D554245-5FA6-48E0-BC45-151848B57177}"/>
    <cellStyle name="Comma 4 6 2" xfId="5636" xr:uid="{8CF6EE98-1FC8-4B16-8F79-504C40D859F9}"/>
    <cellStyle name="Comma 4 6 3" xfId="926" xr:uid="{F06033B7-14A3-43D5-8650-9A4E911D49F2}"/>
    <cellStyle name="Comma 4 7" xfId="5610" xr:uid="{4B6B5C45-D5CB-4035-9443-B6C6FBFA011A}"/>
    <cellStyle name="Comma 4 7 2" xfId="5929" xr:uid="{5121EA31-5D5D-4DEA-81B7-8E3DB4D24833}"/>
    <cellStyle name="Comma 4 8" xfId="6011" xr:uid="{A9A69B65-A512-41B6-94BF-9D1EB66F1190}"/>
    <cellStyle name="Comma 4 8 2" xfId="7234" xr:uid="{E7CD5B93-0BEA-4261-9CA5-0F52DE28E8C8}"/>
    <cellStyle name="Comma 4 9" xfId="688" xr:uid="{2690E423-3CE9-4A1A-838E-0B08B1A8E6C3}"/>
    <cellStyle name="Comma 40" xfId="808" xr:uid="{7B9AA973-6E67-4E71-875D-641C45428A1E}"/>
    <cellStyle name="Comma 40 2" xfId="2307" xr:uid="{3F69091E-C80F-433B-A0E4-B1D34F3C14E5}"/>
    <cellStyle name="Comma 40 2 2" xfId="2536" xr:uid="{5B9867C1-5309-4519-A870-ED7A430036A9}"/>
    <cellStyle name="Comma 40 2 2 2" xfId="5957" xr:uid="{3F5E361F-22E2-4450-AC32-2BDA6E840472}"/>
    <cellStyle name="Comma 40 2 3" xfId="4922" xr:uid="{E24ADAB4-09A3-4F13-9C43-68B464A5323A}"/>
    <cellStyle name="Comma 40 3" xfId="2442" xr:uid="{B49C54D0-E2BA-4D48-AE69-AA042B042314}"/>
    <cellStyle name="Comma 40 3 2" xfId="4223" xr:uid="{4A22344B-FFC3-43D3-BBF7-BFA5475E6E05}"/>
    <cellStyle name="Comma 40 4" xfId="2776" xr:uid="{6DA9F294-B137-4FD0-B29C-66251B57ABF2}"/>
    <cellStyle name="Comma 40 5" xfId="2202" xr:uid="{8EF83F5A-0382-4E79-999E-26F2A25AE03E}"/>
    <cellStyle name="Comma 40 6" xfId="1629" xr:uid="{306ADA42-DFFD-42FB-BD95-6D9B9A7BF147}"/>
    <cellStyle name="Comma 41" xfId="693" xr:uid="{858E6921-FE27-4EB1-8CF3-BE218C16542D}"/>
    <cellStyle name="Comma 41 2" xfId="1666" xr:uid="{E94DAB42-C6DF-4A7F-BF5C-B60E368853B6}"/>
    <cellStyle name="Comma 41 2 2" xfId="1692" xr:uid="{C6411536-74ED-45D7-88D1-40E83E805979}"/>
    <cellStyle name="Comma 41 2 2 2" xfId="2829" xr:uid="{E563708B-AA91-47F3-B740-48C9208AF2EE}"/>
    <cellStyle name="Comma 41 2 2 2 2" xfId="5805" xr:uid="{6E80FDD8-7B71-4B62-9B86-5AFFC1EFA029}"/>
    <cellStyle name="Comma 41 2 2 2 2 2" xfId="6799" xr:uid="{BAB65BE4-6B80-4BEF-8609-9BC38291FDE7}"/>
    <cellStyle name="Comma 41 2 2 2 3" xfId="6260" xr:uid="{85D12BBD-A111-4ED0-BD56-E57EE8E5C6B5}"/>
    <cellStyle name="Comma 41 2 2 2 4" xfId="5477" xr:uid="{26F64FDC-1058-4CD5-A0B4-8923DAFFB7A1}"/>
    <cellStyle name="Comma 41 2 2 3" xfId="2537" xr:uid="{4C088A2A-85B0-41C6-8F2B-E4BEE61DB800}"/>
    <cellStyle name="Comma 41 2 2 3 2" xfId="5973" xr:uid="{80AE97DE-3103-40BC-8183-FED5700D82F4}"/>
    <cellStyle name="Comma 41 2 2 3 2 2" xfId="6973" xr:uid="{6A62FEFC-42B2-4358-A576-3D5AED96AD7E}"/>
    <cellStyle name="Comma 41 2 2 3 3" xfId="6637" xr:uid="{154E904B-8538-4A8A-A2FC-FF6CC4F8436C}"/>
    <cellStyle name="Comma 41 2 2 3 4" xfId="5713" xr:uid="{09833070-470F-4070-BC9A-90BC55EBA51C}"/>
    <cellStyle name="Comma 41 2 2 4" xfId="4276" xr:uid="{D1B587CB-2238-4B42-BA04-E671EAE43913}"/>
    <cellStyle name="Comma 41 2 2 4 2" xfId="5893" xr:uid="{292E7D61-EC2A-4C44-8C71-93CDD27F211A}"/>
    <cellStyle name="Comma 41 2 2 4 2 2" xfId="6917" xr:uid="{DC5DF19A-4621-4392-99E6-F4AB8B3DAF6A}"/>
    <cellStyle name="Comma 41 2 2 4 3" xfId="6432" xr:uid="{1BFC7244-CEF8-498B-8151-6CB30AA46DB0}"/>
    <cellStyle name="Comma 41 2 2 5" xfId="5099" xr:uid="{9F9DBD25-A229-44B4-96F6-D842262EA2A1}"/>
    <cellStyle name="Comma 41 2 3" xfId="2803" xr:uid="{0AAF9D24-491E-4D39-BE16-7750FE48950A}"/>
    <cellStyle name="Comma 41 2 3 2" xfId="5779" xr:uid="{DD697E92-F4E3-4997-877E-6E29FF37311B}"/>
    <cellStyle name="Comma 41 2 3 2 2" xfId="6773" xr:uid="{B09332F0-1333-4C74-9997-FB4AF6FB10EB}"/>
    <cellStyle name="Comma 41 2 3 3" xfId="6234" xr:uid="{30F07D44-9FF3-4EE8-9C38-1FD259CFB6A3}"/>
    <cellStyle name="Comma 41 2 3 4" xfId="5469" xr:uid="{E2F550B1-5194-4467-8401-A8FBAEDB2CFC}"/>
    <cellStyle name="Comma 41 2 4" xfId="2308" xr:uid="{338EDE02-EB2A-4CD7-B294-D7BDBD551E4E}"/>
    <cellStyle name="Comma 41 2 4 2" xfId="5965" xr:uid="{FCFD09C3-4C24-4CFB-AE4E-28B56EBE153B}"/>
    <cellStyle name="Comma 41 2 4 2 2" xfId="6965" xr:uid="{215FDD6E-1225-45EB-B3CF-99AEB92F4039}"/>
    <cellStyle name="Comma 41 2 4 3" xfId="6612" xr:uid="{BBAAD93A-C4FB-45AD-B288-C8EF1E46915D}"/>
    <cellStyle name="Comma 41 2 4 4" xfId="5708" xr:uid="{F18959E3-5658-483B-BF13-895DBDDF5137}"/>
    <cellStyle name="Comma 41 2 5" xfId="4250" xr:uid="{61736A2C-A4B5-4448-B83A-5D2CDEDF7BA7}"/>
    <cellStyle name="Comma 41 2 5 2" xfId="5885" xr:uid="{5900BA0F-D8A1-4431-94A9-48A1051A61EB}"/>
    <cellStyle name="Comma 41 2 5 2 2" xfId="6909" xr:uid="{76B75473-2672-4964-9F64-85992436B063}"/>
    <cellStyle name="Comma 41 2 5 3" xfId="6406" xr:uid="{EEEBC204-0470-4C6F-91C0-127D43FA44F5}"/>
    <cellStyle name="Comma 41 2 6" xfId="5073" xr:uid="{E2B885AB-7C65-4756-8F21-A06F0E303BF9}"/>
    <cellStyle name="Comma 41 3" xfId="1682" xr:uid="{1A5AD32C-9177-4CD4-9E88-5A00810DC992}"/>
    <cellStyle name="Comma 41 3 2" xfId="2819" xr:uid="{59D3D2AD-11BF-444F-89D4-B2CDC18EC816}"/>
    <cellStyle name="Comma 41 3 2 2" xfId="5795" xr:uid="{E3E17218-96BF-486B-A361-7E07C294D040}"/>
    <cellStyle name="Comma 41 3 2 2 2" xfId="6789" xr:uid="{AD590677-CB5B-466B-BF05-FB9FF2CEADE3}"/>
    <cellStyle name="Comma 41 3 2 3" xfId="6250" xr:uid="{7872E7CC-5435-4444-9C80-EE82160C0221}"/>
    <cellStyle name="Comma 41 3 2 4" xfId="5473" xr:uid="{8EED28C9-5701-4FAB-82FF-E0C7E008E445}"/>
    <cellStyle name="Comma 41 3 3" xfId="2443" xr:uid="{4A359D67-743F-45B7-8BA9-0EC6AA77A7ED}"/>
    <cellStyle name="Comma 41 3 3 2" xfId="5969" xr:uid="{22C314E0-7205-41A2-B515-CA72640A9C04}"/>
    <cellStyle name="Comma 41 3 3 2 2" xfId="6969" xr:uid="{BBD3E0CE-9FCC-43D9-9AF1-0C778B4FCE9C}"/>
    <cellStyle name="Comma 41 3 3 3" xfId="6627" xr:uid="{7876B218-299E-4D84-9B23-3B7D636122E1}"/>
    <cellStyle name="Comma 41 3 3 4" xfId="5712" xr:uid="{EF490E41-BCFC-486C-918C-F569C843EA67}"/>
    <cellStyle name="Comma 41 3 4" xfId="4266" xr:uid="{F126F767-F52A-44CF-8531-E3479EA64381}"/>
    <cellStyle name="Comma 41 3 4 2" xfId="5889" xr:uid="{5C35C995-F3B4-4087-92D8-31121E908FE2}"/>
    <cellStyle name="Comma 41 3 4 2 2" xfId="6913" xr:uid="{20389076-823F-4C88-948A-0161BDF33929}"/>
    <cellStyle name="Comma 41 3 4 3" xfId="6422" xr:uid="{25EC56C8-5A13-483F-873E-2CF6611AC6B5}"/>
    <cellStyle name="Comma 41 3 5" xfId="5089" xr:uid="{B84E3B29-5C8A-4EB9-A500-998E07EC7BF6}"/>
    <cellStyle name="Comma 41 4" xfId="2793" xr:uid="{BD1D012F-7A56-4AC1-A9A7-4B9CA6C1BCBA}"/>
    <cellStyle name="Comma 41 4 2" xfId="4924" xr:uid="{2B87E6D9-5D0A-4298-82AA-C7ADAE1C6CE3}"/>
    <cellStyle name="Comma 41 4 2 2" xfId="6763" xr:uid="{A98CC5D7-E64C-4B5D-8C58-8ADB0CAF6522}"/>
    <cellStyle name="Comma 41 4 2 3" xfId="5769" xr:uid="{498E6880-9A08-4838-8020-9E0BAA5DE49C}"/>
    <cellStyle name="Comma 41 4 3" xfId="6224" xr:uid="{9EBB360C-D78A-46F0-AA70-1DFCC57AC97D}"/>
    <cellStyle name="Comma 41 4 4" xfId="5466" xr:uid="{1D89FA27-A7BA-4CB3-AEDF-9450566DE03C}"/>
    <cellStyle name="Comma 41 5" xfId="2207" xr:uid="{B6DCB07D-BC74-4E3F-873C-D01FD504201B}"/>
    <cellStyle name="Comma 41 5 2" xfId="4240" xr:uid="{FAB22087-0A49-4F72-8BF1-66C3E17EDA0A}"/>
    <cellStyle name="Comma 41 5 2 2" xfId="6961" xr:uid="{5CAB37AD-B536-4008-A717-F3BD0758851F}"/>
    <cellStyle name="Comma 41 5 3" xfId="6603" xr:uid="{B2C9EE32-5EAD-491A-8DDA-041B12C977E7}"/>
    <cellStyle name="Comma 41 6" xfId="3822" xr:uid="{F73490D6-C86F-487E-A5CC-17D099AE5803}"/>
    <cellStyle name="Comma 41 6 2" xfId="5881" xr:uid="{D5CE937A-A595-4DC2-9D10-3799BD7C081F}"/>
    <cellStyle name="Comma 41 6 2 2" xfId="6905" xr:uid="{87C7B696-A20A-48BA-BE9D-31568054F43F}"/>
    <cellStyle name="Comma 41 6 3" xfId="6396" xr:uid="{4728A2DB-5BA8-4ED8-8FF2-3BCB1A063481}"/>
    <cellStyle name="Comma 41 6 4" xfId="5562" xr:uid="{88E4486B-D521-4C9C-86F0-AB00518F62B7}"/>
    <cellStyle name="Comma 41 7" xfId="5063" xr:uid="{EDAFC079-7C9D-4628-81C6-851D1F3F9439}"/>
    <cellStyle name="Comma 41 8" xfId="1650" xr:uid="{F8359067-CCAD-4EF9-9BEB-0CDEFAEDDC3F}"/>
    <cellStyle name="Comma 42" xfId="803" xr:uid="{BEA42F63-4049-406A-A0ED-917CBAC572C5}"/>
    <cellStyle name="Comma 42 2" xfId="1670" xr:uid="{90C68513-4459-4CF7-8961-0C761F79873F}"/>
    <cellStyle name="Comma 42 2 2" xfId="1696" xr:uid="{93FB2A6A-315C-4C38-9E53-6F0FDF1CF805}"/>
    <cellStyle name="Comma 42 2 2 2" xfId="2833" xr:uid="{13FBB244-4540-4400-85CE-7E8DAEBB7784}"/>
    <cellStyle name="Comma 42 2 2 2 2" xfId="5809" xr:uid="{ECF72BF5-B894-411A-B86C-B09E0E150DF8}"/>
    <cellStyle name="Comma 42 2 2 2 2 2" xfId="6803" xr:uid="{160606F8-30E0-40E2-996D-B525916C8561}"/>
    <cellStyle name="Comma 42 2 2 2 3" xfId="6264" xr:uid="{7E414706-57F2-44AA-9ACB-E957249A858C}"/>
    <cellStyle name="Comma 42 2 2 2 4" xfId="5480" xr:uid="{DD259A8D-0908-4D36-81D0-5CBA08F49532}"/>
    <cellStyle name="Comma 42 2 2 3" xfId="4280" xr:uid="{E9837B8F-F3DB-4F1D-9244-1BB4606949F6}"/>
    <cellStyle name="Comma 42 2 2 3 2" xfId="5976" xr:uid="{B51B46ED-5DBE-427B-8ABB-F1F2106AFE45}"/>
    <cellStyle name="Comma 42 2 2 3 2 2" xfId="6976" xr:uid="{FA017C85-7414-4280-8049-D928EA71BA3A}"/>
    <cellStyle name="Comma 42 2 2 3 3" xfId="6641" xr:uid="{78AAB3A7-FD25-420D-A480-01E81D8ABB95}"/>
    <cellStyle name="Comma 42 2 2 4" xfId="5103" xr:uid="{9C3FDD53-F1E7-4E9F-ADE1-2BAF830D6AB0}"/>
    <cellStyle name="Comma 42 2 2 4 2" xfId="5896" xr:uid="{003AC63E-C72E-4F17-B6E5-247E90693182}"/>
    <cellStyle name="Comma 42 2 2 4 2 2" xfId="6920" xr:uid="{9CFF50AB-29D5-41EF-9A15-B935BA5579B1}"/>
    <cellStyle name="Comma 42 2 2 4 3" xfId="6436" xr:uid="{8757CAE1-C596-4A71-85D8-A1C8E8D7342E}"/>
    <cellStyle name="Comma 42 2 2 4 4" xfId="5574" xr:uid="{87248757-0070-4FB7-9FDE-5513E3492B2A}"/>
    <cellStyle name="Comma 42 2 2 5" xfId="6135" xr:uid="{56B36FC2-FAE7-4C88-99E4-920B8B9B1F20}"/>
    <cellStyle name="Comma 42 2 3" xfId="2807" xr:uid="{A70797A3-F730-41B5-8BE0-93B649495D6C}"/>
    <cellStyle name="Comma 42 2 3 2" xfId="5783" xr:uid="{1C9BE5CE-3769-4824-A836-D3C9DBD37204}"/>
    <cellStyle name="Comma 42 2 3 2 2" xfId="6777" xr:uid="{03A8D90F-95CD-4B19-BA0B-F8C54CC836C6}"/>
    <cellStyle name="Comma 42 2 3 3" xfId="6238" xr:uid="{99B8B9EF-8C4A-4138-9A20-A609B8254D3A}"/>
    <cellStyle name="Comma 42 2 3 4" xfId="5472" xr:uid="{75B1FE8B-04B7-473D-9D28-7A75B7671DE2}"/>
    <cellStyle name="Comma 42 2 4" xfId="2539" xr:uid="{E312F140-FFAF-4C58-8E1A-3F7AE883DF0E}"/>
    <cellStyle name="Comma 42 2 4 2" xfId="5968" xr:uid="{D5666053-FE48-41BA-8D74-DCC1DA36B8D0}"/>
    <cellStyle name="Comma 42 2 4 2 2" xfId="6968" xr:uid="{52D08F7B-7752-468C-AB49-13F2F43A3856}"/>
    <cellStyle name="Comma 42 2 4 3" xfId="6616" xr:uid="{22DE8063-6FD8-4121-A456-03E7B26FFF6A}"/>
    <cellStyle name="Comma 42 2 4 4" xfId="5711" xr:uid="{1E222082-1196-4F38-875E-E567DA16F208}"/>
    <cellStyle name="Comma 42 2 5" xfId="4254" xr:uid="{D6ED7487-6B1D-4495-9DC8-9C7C474F2975}"/>
    <cellStyle name="Comma 42 2 5 2" xfId="5888" xr:uid="{5ECC8D4D-5557-42AB-90FD-AA38C08C3C94}"/>
    <cellStyle name="Comma 42 2 5 2 2" xfId="6912" xr:uid="{E44A864E-2EC8-43BC-8958-A75A51DE1CC7}"/>
    <cellStyle name="Comma 42 2 5 3" xfId="6410" xr:uid="{4D954F0B-B811-4F93-B4E3-EEF742D3761E}"/>
    <cellStyle name="Comma 42 2 6" xfId="5077" xr:uid="{6883939A-83CC-4652-A6F5-BBABA3F18C30}"/>
    <cellStyle name="Comma 42 3" xfId="1686" xr:uid="{7B916411-BEA2-42E8-A9CC-9EE103E3AE05}"/>
    <cellStyle name="Comma 42 3 2" xfId="2823" xr:uid="{2A5A82C1-9495-4C48-97B0-F62C4EA0CB8F}"/>
    <cellStyle name="Comma 42 3 2 2" xfId="5799" xr:uid="{68C9D5CF-D458-4BCF-9A52-FD5B961920D2}"/>
    <cellStyle name="Comma 42 3 2 2 2" xfId="6793" xr:uid="{B395B96D-923A-474A-B611-F27168C51F38}"/>
    <cellStyle name="Comma 42 3 2 3" xfId="6254" xr:uid="{1F489BB8-F507-4260-BDD5-2D25FC09FFC9}"/>
    <cellStyle name="Comma 42 3 2 4" xfId="5476" xr:uid="{5708F3EB-418C-4895-9BD0-E1FEA6110B0E}"/>
    <cellStyle name="Comma 42 3 3" xfId="4270" xr:uid="{F6EF7B06-8CB8-425E-957E-4CEB71E533A3}"/>
    <cellStyle name="Comma 42 3 3 2" xfId="5972" xr:uid="{F65691F9-0E03-412B-914C-AA6B02A790FF}"/>
    <cellStyle name="Comma 42 3 3 2 2" xfId="6972" xr:uid="{C2937E8E-BE76-45ED-B6AF-9E09DCDBDC67}"/>
    <cellStyle name="Comma 42 3 3 3" xfId="6631" xr:uid="{D2D3B404-627F-4D92-8EA3-3F41EA869A8B}"/>
    <cellStyle name="Comma 42 3 4" xfId="5093" xr:uid="{F9E107AE-C6C5-4EFF-9830-33094D0D0926}"/>
    <cellStyle name="Comma 42 3 4 2" xfId="5892" xr:uid="{82D3D9B5-1AEC-4D61-8FC7-CE2F7DF305F2}"/>
    <cellStyle name="Comma 42 3 4 2 2" xfId="6916" xr:uid="{7559B4E6-8741-4650-82EB-9076012E3EDA}"/>
    <cellStyle name="Comma 42 3 4 3" xfId="6426" xr:uid="{5564B5E1-FB71-4AE7-864D-AA6E5932D878}"/>
    <cellStyle name="Comma 42 3 4 4" xfId="5571" xr:uid="{9D11DB14-3482-447D-AA34-479B3D349F54}"/>
    <cellStyle name="Comma 42 3 5" xfId="6126" xr:uid="{1B859225-C3AB-4D9B-959B-6BB4BEA6EDAE}"/>
    <cellStyle name="Comma 42 4" xfId="2797" xr:uid="{7D092BBB-6A0D-4E04-84DD-D9F7F38A3401}"/>
    <cellStyle name="Comma 42 4 2" xfId="4926" xr:uid="{BA8CC5FA-1133-4DAE-B3F1-36092B7889E8}"/>
    <cellStyle name="Comma 42 4 2 2" xfId="6767" xr:uid="{D975B795-0A9B-4B1A-8303-3518E985E7A0}"/>
    <cellStyle name="Comma 42 4 2 3" xfId="5773" xr:uid="{FA6E2A6A-1924-4F1D-8433-C03398DB3B18}"/>
    <cellStyle name="Comma 42 4 3" xfId="6228" xr:uid="{DED3E6AC-C043-40E9-A88B-FDD3D4E1BA34}"/>
    <cellStyle name="Comma 42 4 4" xfId="5468" xr:uid="{414F1384-F067-40FB-84CE-C3A473F3365C}"/>
    <cellStyle name="Comma 42 5" xfId="2311" xr:uid="{C145F610-BA6E-4447-B316-0A3398865352}"/>
    <cellStyle name="Comma 42 5 2" xfId="4244" xr:uid="{7A5A0628-DEB1-4982-8C49-94DCF78BC710}"/>
    <cellStyle name="Comma 42 5 2 2" xfId="6964" xr:uid="{F71A97C8-BD4A-4414-B7F9-8D7ACEE9FB61}"/>
    <cellStyle name="Comma 42 5 3" xfId="6606" xr:uid="{776FC751-05E5-4167-BA96-A39CD9C7E96A}"/>
    <cellStyle name="Comma 42 6" xfId="3825" xr:uid="{7CA99359-34BB-4685-B449-FA3C285F27A2}"/>
    <cellStyle name="Comma 42 6 2" xfId="5884" xr:uid="{0B3EDC5C-9334-4E8A-9470-F52DEFC8FBDD}"/>
    <cellStyle name="Comma 42 6 2 2" xfId="6908" xr:uid="{50BF149F-6593-417A-BC4B-2D700F54A365}"/>
    <cellStyle name="Comma 42 6 3" xfId="6400" xr:uid="{2CD47977-3C5B-42AF-8575-F67BBA5FEB60}"/>
    <cellStyle name="Comma 42 6 4" xfId="5566" xr:uid="{E09328E8-2F90-4EC1-85BD-57EA87F0FEF4}"/>
    <cellStyle name="Comma 42 7" xfId="5067" xr:uid="{E7F37E13-4CD4-4E3B-AA14-C54133E1E44B}"/>
    <cellStyle name="Comma 42 8" xfId="1658" xr:uid="{E63B4453-E152-42A2-9404-5BA2765FB5AA}"/>
    <cellStyle name="Comma 43" xfId="1176" xr:uid="{B4B20E1F-4BA5-4F3C-8034-76454B3D1ED3}"/>
    <cellStyle name="Comma 43 2" xfId="2540" xr:uid="{6254D87F-8DA2-4E15-B315-E1651CEA2827}"/>
    <cellStyle name="Comma 43 2 2" xfId="4928" xr:uid="{94011579-282B-497D-8317-B5A8773C1B84}"/>
    <cellStyle name="Comma 43 3" xfId="2669" xr:uid="{D87C541F-1A4B-4CB4-B9AD-569038880838}"/>
    <cellStyle name="Comma 43 3 2" xfId="5873" xr:uid="{F62A86B3-5147-475A-BCA2-997A71715182}"/>
    <cellStyle name="Comma 43 4" xfId="2312" xr:uid="{48BC89C1-4FE8-4E58-BFF7-2E4099FB0DFC}"/>
    <cellStyle name="Comma 44" xfId="1383" xr:uid="{2CE6C854-B1BD-4599-9EB7-AD69D3BE055D}"/>
    <cellStyle name="Comma 44 2" xfId="2691" xr:uid="{850E778A-17D4-443D-B6D0-F0A434D7CF0C}"/>
    <cellStyle name="Comma 44 2 2" xfId="4931" xr:uid="{918D4285-031F-4D25-81AF-5A4D9A90FD67}"/>
    <cellStyle name="Comma 44 2 2 2" xfId="5955" xr:uid="{E3C95C48-C09C-4BD5-8590-9EFCF9CBB399}"/>
    <cellStyle name="Comma 44 3" xfId="4130" xr:uid="{AFC871EB-B65F-441C-B39F-6D0CBF65A2F5}"/>
    <cellStyle name="Comma 44 3 2" xfId="5874" xr:uid="{63E3EF7B-E4A7-429B-A5B0-C5A2D5507115}"/>
    <cellStyle name="Comma 44 4" xfId="3829" xr:uid="{A2D1688D-11C7-41FD-BD88-B42B546EDA36}"/>
    <cellStyle name="Comma 45" xfId="1715" xr:uid="{9327CAED-5D3F-4A2E-947C-CB26FB257AF0}"/>
    <cellStyle name="Comma 45 2" xfId="1031" xr:uid="{9FBA96C9-265D-4A62-B63B-C7DF4E945C82}"/>
    <cellStyle name="Comma 45 2 2" xfId="1124" xr:uid="{E7D38F40-B1D5-45C6-B8F8-E9D477B5C39B}"/>
    <cellStyle name="Comma 45 2 2 2" xfId="1920" xr:uid="{099D9B1A-AD3B-46F8-A5DB-9DE0C2F828E1}"/>
    <cellStyle name="Comma 45 2 2 2 2" xfId="2996" xr:uid="{0DFE0939-4DF3-47A2-AB1A-6D3061951459}"/>
    <cellStyle name="Comma 45 2 2 2 2 2" xfId="6005" xr:uid="{CD73A16F-4A60-45C2-BCF0-5964EF8805B1}"/>
    <cellStyle name="Comma 45 2 2 2 2 2 2" xfId="6995" xr:uid="{7DBCC8AD-F16F-4851-B1D2-8F737D2FAA00}"/>
    <cellStyle name="Comma 45 2 2 2 2 3" xfId="6732" xr:uid="{408C6834-FBA9-4BCD-AD1D-7DA1B32BB967}"/>
    <cellStyle name="Comma 45 2 2 2 3" xfId="4412" xr:uid="{A4B99A5D-C995-4C12-8599-E4F867ED03E8}"/>
    <cellStyle name="Comma 45 2 2 2 3 2" xfId="5928" xr:uid="{587F723A-B271-4829-9D27-B3E30D5720D0}"/>
    <cellStyle name="Comma 45 2 2 2 3 2 2" xfId="6945" xr:uid="{EF017670-6DD4-4BC3-9CEB-F91D4233A5ED}"/>
    <cellStyle name="Comma 45 2 2 2 3 3" xfId="6548" xr:uid="{563EB8A3-9D93-453F-9402-BC06293BB3AF}"/>
    <cellStyle name="Comma 45 2 2 2 4" xfId="5233" xr:uid="{B006D889-7B9B-415C-9E38-58C6262E27FF}"/>
    <cellStyle name="Comma 45 2 2 3" xfId="2643" xr:uid="{D11FF7B1-02CE-4E8A-8A92-2D91B34B393B}"/>
    <cellStyle name="Comma 45 2 2 3 2" xfId="5954" xr:uid="{5F4A9B66-6643-4BF4-B82C-620C6CC4A13C}"/>
    <cellStyle name="Comma 45 2 2 3 2 2" xfId="6957" xr:uid="{F70663FB-544A-4FBB-AA75-14AC96800ABA}"/>
    <cellStyle name="Comma 45 2 2 3 3" xfId="6577" xr:uid="{B108370F-8467-4514-BF99-73664D51FF37}"/>
    <cellStyle name="Comma 45 2 2 4" xfId="2556" xr:uid="{35093D2F-1199-4031-844D-B7C5880031A5}"/>
    <cellStyle name="Comma 45 2 2 4 2" xfId="5872" xr:uid="{BDCCA586-7764-4FCC-AF0B-10E20A166A05}"/>
    <cellStyle name="Comma 45 2 2 4 2 2" xfId="6902" xr:uid="{C068E2A8-1795-48EE-ADFB-94569B1FB3F7}"/>
    <cellStyle name="Comma 45 2 2 4 3" xfId="6365" xr:uid="{0642E07C-3985-4DDF-B685-B4FA15251068}"/>
    <cellStyle name="Comma 45 2 2 4 4" xfId="5514" xr:uid="{FFA37723-42E6-42CD-AC3F-0E8949CA03F6}"/>
    <cellStyle name="Comma 45 2 2 5" xfId="4039" xr:uid="{29BF07D0-33B5-48AF-8C3F-988FB9CDD20C}"/>
    <cellStyle name="Comma 45 2 2 5 2" xfId="6084" xr:uid="{F507F717-5655-49CE-9B69-C5564C48DD98}"/>
    <cellStyle name="Comma 45 2 2 6" xfId="5030" xr:uid="{4FA4E067-D2ED-4060-9F9D-0C7F7A6F6D74}"/>
    <cellStyle name="Comma 45 2 3" xfId="1170" xr:uid="{D44C7340-2068-4DAA-B4B6-171ACE5C597F}"/>
    <cellStyle name="Comma 45 2 3 2" xfId="2664" xr:uid="{49EED624-DEC6-4823-8E1E-0EB7F3F7D4F1}"/>
    <cellStyle name="Comma 45 2 3 2 2" xfId="5749" xr:uid="{3853B541-17FC-4B23-8D41-34E730DB4C44}"/>
    <cellStyle name="Comma 45 2 3 2 2 2" xfId="6742" xr:uid="{52BF0C71-6E34-4482-9AA0-CAE3E0632784}"/>
    <cellStyle name="Comma 45 2 3 2 3" xfId="6204" xr:uid="{05F623A0-ADC2-45D7-A0E9-01E9AEA798C2}"/>
    <cellStyle name="Comma 45 2 3 3" xfId="4072" xr:uid="{C704F84F-2FDE-4D16-AE34-B8F29302FD33}"/>
    <cellStyle name="Comma 45 2 3 3 2" xfId="6585" xr:uid="{301102C1-C14B-4D00-9414-B0735B339C3F}"/>
    <cellStyle name="Comma 45 2 3 4" xfId="5042" xr:uid="{DF272D5E-6302-46BA-A21A-C00E35E13C66}"/>
    <cellStyle name="Comma 45 2 3 4 2" xfId="6375" xr:uid="{FB696858-9931-4CF2-9080-FA131EB4901A}"/>
    <cellStyle name="Comma 45 2 3 5" xfId="6090" xr:uid="{37B31BBF-1BC9-489E-9C2B-82017EC7B546}"/>
    <cellStyle name="Comma 45 2 4" xfId="1901" xr:uid="{3DF98E60-F4E5-4A85-BFBC-E464564F4513}"/>
    <cellStyle name="Comma 45 2 4 2" xfId="2979" xr:uid="{AA4C1781-15B3-4158-88D2-70F1A89D019C}"/>
    <cellStyle name="Comma 45 2 4 2 2" xfId="6001" xr:uid="{DB7B7A50-12A2-4FEC-8F4E-2D2FCB87D24D}"/>
    <cellStyle name="Comma 45 2 4 2 2 2" xfId="6991" xr:uid="{CA16241E-336F-4977-B1D6-9627D6EE8828}"/>
    <cellStyle name="Comma 45 2 4 2 3" xfId="6717" xr:uid="{8B016389-A39B-4859-9204-CDAB45013669}"/>
    <cellStyle name="Comma 45 2 4 3" xfId="4399" xr:uid="{B5818FFC-586E-47B2-9D68-6446D2537B13}"/>
    <cellStyle name="Comma 45 2 4 3 2" xfId="5926" xr:uid="{67A73238-1AA7-439C-8E66-1A7C5A2179BB}"/>
    <cellStyle name="Comma 45 2 4 3 2 2" xfId="6939" xr:uid="{1D58C87F-8123-4756-AD77-B0919AA75059}"/>
    <cellStyle name="Comma 45 2 4 3 3" xfId="6533" xr:uid="{A56961F2-FA33-4507-9CB2-3DD917570C7A}"/>
    <cellStyle name="Comma 45 2 4 4" xfId="5216" xr:uid="{9B749D58-AD1B-4EDD-8C81-D80C2B2437EB}"/>
    <cellStyle name="Comma 45 2 5" xfId="2605" xr:uid="{B3F3A31E-6E07-455C-9B46-422759D868B5}"/>
    <cellStyle name="Comma 45 2 5 2" xfId="5939" xr:uid="{82442CAC-81DE-4DCA-AF92-6F1DD12EF137}"/>
    <cellStyle name="Comma 45 2 5 2 2" xfId="6953" xr:uid="{950889FD-F5E1-4A10-B6C1-5D017FD94A54}"/>
    <cellStyle name="Comma 45 2 5 3" xfId="6566" xr:uid="{09483C0F-2EE1-418B-9B13-67C6EA6E4DE3}"/>
    <cellStyle name="Comma 45 2 6" xfId="2347" xr:uid="{59C7C8E0-288C-4B91-935A-D81DE972E11C}"/>
    <cellStyle name="Comma 45 2 6 2" xfId="5856" xr:uid="{B6DDF6F2-4F0C-4C41-A4A3-02E177406600}"/>
    <cellStyle name="Comma 45 2 6 2 2" xfId="6896" xr:uid="{F31E1EFA-F38D-4BF5-AB41-45B44D5AEF44}"/>
    <cellStyle name="Comma 45 2 6 3" xfId="6352" xr:uid="{3321F8D0-89F6-4B7C-9F09-3586FD211062}"/>
    <cellStyle name="Comma 45 2 6 4" xfId="5498" xr:uid="{36435367-2AFE-4779-94ED-CF7049BC56CC}"/>
    <cellStyle name="Comma 45 2 7" xfId="3998" xr:uid="{B9076466-BF15-4FEE-8E0D-9726A41B07EB}"/>
    <cellStyle name="Comma 45 2 7 2" xfId="6079" xr:uid="{29CD77F9-34B4-4AF6-869C-D649D98AAE45}"/>
    <cellStyle name="Comma 45 2 8" xfId="5013" xr:uid="{3593FA6F-CB30-4193-A9DD-F14450E1FD4A}"/>
    <cellStyle name="Comma 45 3" xfId="2840" xr:uid="{12724147-3314-42A4-8E3A-E1E328E0F7F5}"/>
    <cellStyle name="Comma 45 3 2" xfId="5979" xr:uid="{F95A8864-7624-4377-A1FB-F781A7B1B642}"/>
    <cellStyle name="Comma 45 4" xfId="5577" xr:uid="{CC42CE20-95FC-445C-B070-E480EFD9150B}"/>
    <cellStyle name="Comma 45 4 2" xfId="5899" xr:uid="{283B75D1-CB79-4F1C-BF18-98AB37E20EEF}"/>
    <cellStyle name="Comma 46" xfId="1737" xr:uid="{D46A634D-D31C-445E-8FF9-04D34FAA0F05}"/>
    <cellStyle name="Comma 46 2" xfId="2852" xr:uid="{6BF9AE37-6B1E-4229-B12B-5FF1939FEF98}"/>
    <cellStyle name="Comma 46 2 2" xfId="5984" xr:uid="{E66CFABB-3567-4D61-9288-324157394155}"/>
    <cellStyle name="Comma 46 3" xfId="5310" xr:uid="{DBB2A4A8-8942-471D-B4C7-CCC4C023E882}"/>
    <cellStyle name="Comma 46 3 2" xfId="5903" xr:uid="{AC2D9AB4-26CD-417D-9D46-5E8AEF8484CA}"/>
    <cellStyle name="Comma 46 3 3" xfId="5581" xr:uid="{B272DD6F-8BA9-49E1-BC61-80C8FA77B379}"/>
    <cellStyle name="Comma 47" xfId="1876" xr:uid="{D78CC842-5B8E-4049-9051-7376FFABAFD0}"/>
    <cellStyle name="Comma 47 2" xfId="1933" xr:uid="{E3013657-9E0A-4EBB-836D-1D9CF8109FE0}"/>
    <cellStyle name="Comma 47 2 2" xfId="4423" xr:uid="{D776991F-BF4E-4E13-B3C3-1AF3D62C9881}"/>
    <cellStyle name="Comma 47 2 3" xfId="5241" xr:uid="{C189F62F-B201-4FC1-BEB5-2B9C26AE5F56}"/>
    <cellStyle name="Comma 47 3" xfId="2962" xr:uid="{4070C3F2-659E-4FD6-873C-8DBB65FCE05C}"/>
    <cellStyle name="Comma 47 4" xfId="4383" xr:uid="{6490BE46-13D7-4823-AAAF-F54E9776E8CE}"/>
    <cellStyle name="Comma 47 5" xfId="5199" xr:uid="{B547B336-3C3F-4FBC-891F-605607FC6286}"/>
    <cellStyle name="Comma 47 6" xfId="5309" xr:uid="{0CB6DD93-8FBA-42D4-A957-0E6DDBBC3A37}"/>
    <cellStyle name="Comma 48" xfId="1883" xr:uid="{0E3152B8-8896-4254-8E0B-D6FCAB8244D6}"/>
    <cellStyle name="Comma 48 2" xfId="2967" xr:uid="{7DD8FEA8-0F04-49E4-BAA6-C66857BBA44B}"/>
    <cellStyle name="Comma 48 2 2" xfId="6934" xr:uid="{7E8C006B-4D33-4B2F-8EF5-FE400AECD36C}"/>
    <cellStyle name="Comma 48 3" xfId="4388" xr:uid="{8B56F608-6ACF-4715-B67F-F1589A878379}"/>
    <cellStyle name="Comma 48 4" xfId="5204" xr:uid="{B847C23B-7FA6-4A51-A11B-E9CB4E99E946}"/>
    <cellStyle name="Comma 49" xfId="1923" xr:uid="{FC63B273-86E3-49FC-A91E-5A8B6BD2414F}"/>
    <cellStyle name="Comma 49 2" xfId="2998" xr:uid="{9D1ECEA4-8D80-40DA-B1F0-DCB2CE9C12BC}"/>
    <cellStyle name="Comma 49 2 2" xfId="6946" xr:uid="{168ADAB6-F389-4600-AB4D-E73FE7568E55}"/>
    <cellStyle name="Comma 49 3" xfId="4414" xr:uid="{381FD771-56A2-41C0-9CE7-FA30804A8630}"/>
    <cellStyle name="Comma 49 4" xfId="5235" xr:uid="{8B5F67E6-00DF-4E12-85EB-547001F7273C}"/>
    <cellStyle name="Comma 5" xfId="35" xr:uid="{7462B98F-6CBD-487A-8396-C5EB63A008DE}"/>
    <cellStyle name="Comma 5 10" xfId="4994" xr:uid="{91BE81DB-27A5-4A1F-A876-B297F4847FAD}"/>
    <cellStyle name="Comma 5 11" xfId="5251" xr:uid="{DEF0DE6D-F25C-4110-8620-A474234AF042}"/>
    <cellStyle name="Comma 5 12" xfId="959" xr:uid="{B743BE11-CDEA-4AB1-8B92-65180824FE33}"/>
    <cellStyle name="Comma 5 13" xfId="814" xr:uid="{1021F2CA-6927-4DD4-9254-69A16C1DDBD9}"/>
    <cellStyle name="Comma 5 2" xfId="84" xr:uid="{FD2C7BCE-279C-419C-A2F0-801451698164}"/>
    <cellStyle name="Comma 5 2 2" xfId="1149" xr:uid="{02A6A618-08AD-4523-B5DC-16194B41033A}"/>
    <cellStyle name="Comma 5 2 2 2" xfId="4647" xr:uid="{CF293A31-3E2C-48E0-9F79-8DC529DCA16C}"/>
    <cellStyle name="Comma 5 2 2 3" xfId="4057" xr:uid="{55B420C7-A4FE-4ABF-A2DC-9DA6992AA0E8}"/>
    <cellStyle name="Comma 5 2 3" xfId="2585" xr:uid="{F911F358-154E-48A3-BECB-123FF14BD8A2}"/>
    <cellStyle name="Comma 5 2 3 2" xfId="4674" xr:uid="{9DEAF8CF-9F29-4D0B-8C8B-FB0094FBFFC1}"/>
    <cellStyle name="Comma 5 2 4" xfId="3263" xr:uid="{7A3EB2DD-9B2E-41B1-A5B3-6B99C68ABBD4}"/>
    <cellStyle name="Comma 5 2 5" xfId="879" xr:uid="{CDAEC995-6C2A-466C-A6C7-8F098A13CA4D}"/>
    <cellStyle name="Comma 5 2 6" xfId="7178" xr:uid="{2D7B5DF9-16AE-49BD-AF19-0BBA05D222C6}"/>
    <cellStyle name="Comma 5 2 7" xfId="7307" xr:uid="{3A41F71D-2665-4A23-9BFB-EDDD150ACEC3}"/>
    <cellStyle name="Comma 5 3" xfId="573" xr:uid="{57B0BE2C-4887-43DF-8644-7A9233222C7A}"/>
    <cellStyle name="Comma 5 3 2" xfId="2624" xr:uid="{7FDF8C7A-0E7B-4828-8A7C-487FFC5529B3}"/>
    <cellStyle name="Comma 5 3 2 2" xfId="5949" xr:uid="{0DCFD2AC-1D80-4D3B-9A13-F4880C5678F6}"/>
    <cellStyle name="Comma 5 3 3" xfId="5508" xr:uid="{F0CC8395-2C51-4818-AF52-C4009CFDFF8A}"/>
    <cellStyle name="Comma 5 3 3 2" xfId="5867" xr:uid="{6B36430C-4D8F-46E2-ACD3-6DC591EFEF9B}"/>
    <cellStyle name="Comma 5 3 4" xfId="1059" xr:uid="{AEA402CF-63B4-4906-AC37-AD27B631F269}"/>
    <cellStyle name="Comma 5 3 5" xfId="7106" xr:uid="{7AAFE4F5-34B8-4EB5-8EAC-DCCA96F8E91A}"/>
    <cellStyle name="Comma 5 4" xfId="315" xr:uid="{E3A39AFD-2E1F-4CB6-9E33-884D2CA68456}"/>
    <cellStyle name="Comma 5 4 2" xfId="4646" xr:uid="{54FE7D0F-0AF2-4984-BC49-5749B5794E7D}"/>
    <cellStyle name="Comma 5 4 2 2" xfId="5658" xr:uid="{066AEE24-901C-433A-BB18-CC0A026D6171}"/>
    <cellStyle name="Comma 5 4 3" xfId="4056" xr:uid="{6AB0C97F-58B6-42C0-8A90-AB85032E567C}"/>
    <cellStyle name="Comma 5 4 4" xfId="3247" xr:uid="{A17F9601-069C-4D85-83DD-62F5459F0270}"/>
    <cellStyle name="Comma 5 4 5" xfId="1148" xr:uid="{5D603799-F84E-4AE2-A0E1-57E26B709991}"/>
    <cellStyle name="Comma 5 5" xfId="1881" xr:uid="{2E18FCED-26DB-4958-80DC-76B162A391D1}"/>
    <cellStyle name="Comma 5 5 2" xfId="1935" xr:uid="{6650399E-79A1-4F31-AC1C-C1413B98BE88}"/>
    <cellStyle name="Comma 5 5 2 2" xfId="4425" xr:uid="{5335FAB0-E3EB-4AB3-A871-5A4362A38856}"/>
    <cellStyle name="Comma 5 5 2 2 2" xfId="5936" xr:uid="{D49669ED-9A3A-4365-A8AC-95B50C5AF780}"/>
    <cellStyle name="Comma 5 5 2 3" xfId="5243" xr:uid="{92011E2F-FCB4-40A2-8AD9-149811775718}"/>
    <cellStyle name="Comma 5 5 2 4" xfId="5637" xr:uid="{C2CD412E-1232-40CD-9B62-1E84B505D9F3}"/>
    <cellStyle name="Comma 5 5 3" xfId="2965" xr:uid="{FF7D5E7A-78E1-4D2E-8E5F-60C78C98A899}"/>
    <cellStyle name="Comma 5 5 3 2" xfId="4648" xr:uid="{5272B5A4-0DF9-41E3-8C14-41A436720651}"/>
    <cellStyle name="Comma 5 5 3 2 2" xfId="6933" xr:uid="{D558411D-5522-437E-8811-48EFE760E426}"/>
    <cellStyle name="Comma 5 5 3 2 3" xfId="5924" xr:uid="{E45F955E-7D26-450E-94F6-305C803C6783}"/>
    <cellStyle name="Comma 5 5 3 3" xfId="6522" xr:uid="{5C79EC2D-9BE4-4018-BE78-F4E5A0CD94A9}"/>
    <cellStyle name="Comma 5 5 4" xfId="4386" xr:uid="{39F72095-C506-44C6-9630-C75B46D67FFB}"/>
    <cellStyle name="Comma 5 5 5" xfId="3248" xr:uid="{4EC355A5-C4FC-432F-89F8-45E968CD90ED}"/>
    <cellStyle name="Comma 5 5 6" xfId="5202" xr:uid="{7DD0AEA0-6DDA-48DE-8B09-2D33A5FAC2E9}"/>
    <cellStyle name="Comma 5 5 7" xfId="5427" xr:uid="{2134D079-F908-42A4-9FED-AAC14A8C0F7B}"/>
    <cellStyle name="Comma 5 6" xfId="1926" xr:uid="{D9020950-FC14-4A9D-868E-0645C66BC1AB}"/>
    <cellStyle name="Comma 5 6 2" xfId="1944" xr:uid="{1995AFFF-AD8D-4C52-9686-2072E96083AB}"/>
    <cellStyle name="Comma 5 6 3" xfId="3001" xr:uid="{C5F1ACA8-9F37-46B4-9D88-53C61A6DFC02}"/>
    <cellStyle name="Comma 5 6 4" xfId="4417" xr:uid="{D3C8768F-B6E5-4E58-85D0-F0096DB6086B}"/>
    <cellStyle name="Comma 5 6 5" xfId="5238" xr:uid="{5988A38C-DE05-430A-A73F-0C0DBB702DEF}"/>
    <cellStyle name="Comma 5 7" xfId="2584" xr:uid="{C3C41734-B239-4775-8508-4A9C83F37D6E}"/>
    <cellStyle name="Comma 5 8" xfId="3009" xr:uid="{77CCE97D-24FB-4C59-B937-B41F60AECFDD}"/>
    <cellStyle name="Comma 5 9" xfId="4980" xr:uid="{540BF6FF-4947-4198-99A1-AD3301F23208}"/>
    <cellStyle name="Comma 50" xfId="1938" xr:uid="{D288ED24-7CB0-46DD-AFBF-1035C7091CE3}"/>
    <cellStyle name="Comma 50 2" xfId="2562" xr:uid="{134ED2AE-C4D8-4012-950A-780AD2E1D579}"/>
    <cellStyle name="Comma 50 3" xfId="5246" xr:uid="{7EC69AAF-3C45-442A-8656-17D9EC8BBAE5}"/>
    <cellStyle name="Comma 51" xfId="1947" xr:uid="{943546BF-66BC-4E80-8143-5D1A516054F9}"/>
    <cellStyle name="Comma 51 2" xfId="3006" xr:uid="{5C2A93A6-F3CC-4790-BC05-CD789B9C00B7}"/>
    <cellStyle name="Comma 52" xfId="3011" xr:uid="{6578C3D8-DEEE-45F2-B1D5-6F9FEC6017E3}"/>
    <cellStyle name="Comma 52 2" xfId="4971" xr:uid="{FF80C111-4A1E-4543-873D-910FAAD80A0C}"/>
    <cellStyle name="Comma 52 3" xfId="5853" xr:uid="{4CF1841F-005A-4E2E-81CA-902706708DD7}"/>
    <cellStyle name="Comma 53" xfId="4973" xr:uid="{A128C034-4E5E-4766-91C8-D3565A85541B}"/>
    <cellStyle name="Comma 53 2" xfId="5495" xr:uid="{41F5BB76-6E63-4366-8054-64E3F90E00E2}"/>
    <cellStyle name="Comma 54" xfId="4982" xr:uid="{F3F638C1-ED1B-4EAE-A82E-0FA7A160486B}"/>
    <cellStyle name="Comma 54 2" xfId="5415" xr:uid="{3E3AA715-1EF6-4920-ACCD-B8DB7AB9147A}"/>
    <cellStyle name="Comma 54 3" xfId="5494" xr:uid="{B63007F8-37F1-42B7-A411-4776E2E8DA5D}"/>
    <cellStyle name="Comma 55" xfId="4988" xr:uid="{35045D9B-6974-4B99-B015-1FD97CA64241}"/>
    <cellStyle name="Comma 55 2" xfId="5493" xr:uid="{78C1259F-DDB5-4EBA-BD8F-76CD9CC30547}"/>
    <cellStyle name="Comma 56" xfId="5000" xr:uid="{0ADF53F1-3A6F-45FF-A983-4DC205E43853}"/>
    <cellStyle name="Comma 56 2" xfId="5852" xr:uid="{8E87CBD9-DAE0-4DFC-8AA7-D3EB5ED5BCD7}"/>
    <cellStyle name="Comma 57" xfId="5420" xr:uid="{A3AEF962-6460-48C5-9ACE-596C061F3BF4}"/>
    <cellStyle name="Comma 57 2" xfId="5576" xr:uid="{D69AD44B-A781-4458-82EA-5F88679BD3D1}"/>
    <cellStyle name="Comma 58" xfId="5422" xr:uid="{007D3662-B4B5-4856-8C06-4DC1788AC68A}"/>
    <cellStyle name="Comma 58 2" xfId="5854" xr:uid="{76719D1A-3280-4EF2-A0E5-0D7C82591F92}"/>
    <cellStyle name="Comma 59" xfId="798" xr:uid="{E0DE82E0-ED9A-462E-BDE0-70A213D0A9F8}"/>
    <cellStyle name="Comma 59 2" xfId="6008" xr:uid="{E35F4CEF-A382-407C-9597-4216BCBC7033}"/>
    <cellStyle name="Comma 6" xfId="85" xr:uid="{586A7242-4DBB-4C5A-8CCC-F94AD176724B}"/>
    <cellStyle name="Comma 6 2" xfId="318" xr:uid="{B79A2592-6294-423F-9266-8D5EB6FC3693}"/>
    <cellStyle name="Comma 6 2 2" xfId="1150" xr:uid="{B7E6C10B-D0C3-4641-8F29-D02A589AD09E}"/>
    <cellStyle name="Comma 6 2 2 2" xfId="4644" xr:uid="{41FF5C76-3CC7-4A97-88AA-3A850B730D53}"/>
    <cellStyle name="Comma 6 2 2 2 2" xfId="5659" xr:uid="{5AC2C97C-19F3-457F-BD49-EF5C25A9B9B3}"/>
    <cellStyle name="Comma 6 2 2 3" xfId="4058" xr:uid="{723D6509-2A08-47CA-83EB-7998C6EFA13F}"/>
    <cellStyle name="Comma 6 2 2 4" xfId="3245" xr:uid="{F1486A83-9729-4F49-AF60-2FD47E4B90A7}"/>
    <cellStyle name="Comma 6 2 3" xfId="1550" xr:uid="{518445F1-380C-4A03-A7CE-B9E015F84DA1}"/>
    <cellStyle name="Comma 6 2 4" xfId="2586" xr:uid="{9792C4DE-0FCD-4085-951B-3734E36BB148}"/>
    <cellStyle name="Comma 6 2 5" xfId="3966" xr:uid="{3E904B8C-4CD5-4303-A19B-75038B77FCEE}"/>
    <cellStyle name="Comma 6 2 6" xfId="938" xr:uid="{8927A995-EB4F-4DB4-9E0D-DD2770779A38}"/>
    <cellStyle name="Comma 6 2 7" xfId="7118" xr:uid="{CE35112E-D942-43EA-964D-9BFA632F3417}"/>
    <cellStyle name="Comma 6 3" xfId="317" xr:uid="{F7E93738-ED5B-46E4-8DCC-D859FC780232}"/>
    <cellStyle name="Comma 6 3 2" xfId="2625" xr:uid="{7B779FB9-D2D7-4E12-A2A9-B87E725B9362}"/>
    <cellStyle name="Comma 6 3 2 2" xfId="5950" xr:uid="{373A8162-BE20-45A9-A7C2-412B0359E677}"/>
    <cellStyle name="Comma 6 3 3" xfId="5509" xr:uid="{F9C99E9D-43BE-48C8-BD59-22EC58258A90}"/>
    <cellStyle name="Comma 6 3 3 2" xfId="5868" xr:uid="{4FDCF56A-F267-4B26-8B50-9D204E60A8BB}"/>
    <cellStyle name="Comma 6 3 4" xfId="1060" xr:uid="{5DA2EC02-2AD5-4D51-BDCB-D89777A7F4E6}"/>
    <cellStyle name="Comma 6 3 5" xfId="7164" xr:uid="{92D5DC56-C946-4B2C-B2EB-E1E73F0B4FEA}"/>
    <cellStyle name="Comma 6 3 6" xfId="7067" xr:uid="{653059DF-24AC-4F3C-A6A0-21F3200C7AE0}"/>
    <cellStyle name="Comma 6 4" xfId="1285" xr:uid="{D9EE95AB-1662-4A66-8A9D-6FE901016E2F}"/>
    <cellStyle name="Comma 6 4 2" xfId="4643" xr:uid="{1AA99A48-2BA7-4DD1-B4AE-F268DF4EE949}"/>
    <cellStyle name="Comma 6 4 3" xfId="4113" xr:uid="{F7F9B4B3-65D0-48A0-8DCA-EA5828C64B6F}"/>
    <cellStyle name="Comma 6 4 4" xfId="3244" xr:uid="{151998ED-A3FA-4335-AABD-4B8CD030C3A3}"/>
    <cellStyle name="Comma 6 5" xfId="1699" xr:uid="{3E205016-A40D-4143-9CB8-117FECBC121F}"/>
    <cellStyle name="Comma 6 5 2" xfId="2836" xr:uid="{BC3C83F1-23E5-455F-BEAD-70D3BE7C9216}"/>
    <cellStyle name="Comma 6 5 2 2" xfId="4642" xr:uid="{401AFF2B-4035-4EE5-99A3-C72C9DF71EA8}"/>
    <cellStyle name="Comma 6 5 2 2 2" xfId="5978" xr:uid="{B3AA96E3-E4DD-43C6-AFD1-153D9ADBF97A}"/>
    <cellStyle name="Comma 6 5 3" xfId="4282" xr:uid="{1940B71C-465E-4E93-BD64-8B1F37578436}"/>
    <cellStyle name="Comma 6 5 3 2" xfId="5898" xr:uid="{5E239BB7-55EE-4393-B843-C689D5961FB6}"/>
    <cellStyle name="Comma 6 5 4" xfId="3243" xr:uid="{76A97034-8FD1-41FF-80D9-A138326A6185}"/>
    <cellStyle name="Comma 6 6" xfId="3246" xr:uid="{F995E03C-31C9-46DF-BE44-27C6BE7F277F}"/>
    <cellStyle name="Comma 6 6 2" xfId="4645" xr:uid="{B74F6FE4-7C4B-4B5A-9017-D084779E245C}"/>
    <cellStyle name="Comma 6 7" xfId="644" xr:uid="{FF42B4F3-CE86-48DD-930A-15D3D9F096B8}"/>
    <cellStyle name="Comma 6 8" xfId="360" xr:uid="{7B8A4909-CEB4-4228-AF53-33DA4FF4BDC7}"/>
    <cellStyle name="Comma 6 9" xfId="7350" xr:uid="{BEB3C1FB-07AF-4778-8118-CB5D86585E4C}"/>
    <cellStyle name="Comma 60" xfId="6019" xr:uid="{B2FD8E0A-1FFE-4A99-BA50-642CE10069B5}"/>
    <cellStyle name="Comma 61" xfId="6958" xr:uid="{C289E35C-4DD6-47D1-BDAC-FAF1D5325D4E}"/>
    <cellStyle name="Comma 62" xfId="6645" xr:uid="{45930996-E89F-49FD-9441-30BB1A9BCB3F}"/>
    <cellStyle name="Comma 62 2" xfId="7132" xr:uid="{01B559FE-31E8-42E1-BEB5-7070DF9A5F26}"/>
    <cellStyle name="Comma 63" xfId="6093" xr:uid="{5C574ADF-8C52-424A-A564-299FFCD7ED4E}"/>
    <cellStyle name="Comma 63 2" xfId="7137" xr:uid="{66BB2710-B56D-4E9E-ACBA-4FB8B904A3A4}"/>
    <cellStyle name="Comma 64" xfId="6080" xr:uid="{6B99EC59-9923-4CBF-A4DB-A3DF3D196620}"/>
    <cellStyle name="Comma 64 2" xfId="7223" xr:uid="{2A1E4D03-6760-4898-9F39-07DA14B131B1}"/>
    <cellStyle name="Comma 65" xfId="987" xr:uid="{543068D9-0BC6-4732-9E68-A72A9A595451}"/>
    <cellStyle name="Comma 66" xfId="5439" xr:uid="{440BBD38-4838-4A30-A103-76C823AA573E}"/>
    <cellStyle name="Comma 67" xfId="5707" xr:uid="{DC325523-3C21-4585-ADCC-2B5F3F0B59B3}"/>
    <cellStyle name="Comma 68" xfId="7000" xr:uid="{12B62D83-7BA6-4A62-9FE0-F72D73B39D5E}"/>
    <cellStyle name="Comma 69" xfId="6999" xr:uid="{5973B01D-5992-45E8-9AA7-87C40C6B83DD}"/>
    <cellStyle name="Comma 7" xfId="7" xr:uid="{495BF225-FF8F-464A-99E5-92B87C533912}"/>
    <cellStyle name="Comma 7 10" xfId="7351" xr:uid="{03C1E87A-2533-4B3A-814F-49CAA750C92C}"/>
    <cellStyle name="Comma 7 2" xfId="8" xr:uid="{956C0A1F-2E04-43BE-9A58-4162D54647B8}"/>
    <cellStyle name="Comma 7 2 2" xfId="1287" xr:uid="{402BEF0E-C5D7-4F26-9961-71609D2F7B0F}"/>
    <cellStyle name="Comma 7 2 2 2" xfId="4640" xr:uid="{54C0163E-D400-46AB-8878-4F27EC3655C2}"/>
    <cellStyle name="Comma 7 2 2 2 2" xfId="5667" xr:uid="{A77E93F1-8B75-4491-A113-188E924FA4DF}"/>
    <cellStyle name="Comma 7 2 2 3" xfId="4115" xr:uid="{1A74D298-C36F-4765-A183-A23CBB764B1B}"/>
    <cellStyle name="Comma 7 2 2 4" xfId="3242" xr:uid="{BCEABED9-0D62-47D5-9568-4BF448E9834F}"/>
    <cellStyle name="Comma 7 2 2 5" xfId="7208" xr:uid="{855504B1-9F43-48FB-A3F6-52750C5C6A71}"/>
    <cellStyle name="Comma 7 2 3" xfId="2626" xr:uid="{5A1F4643-AD1C-4982-AD31-55C5AD460E8D}"/>
    <cellStyle name="Comma 7 2 3 2" xfId="5951" xr:uid="{E99C9075-D5C4-4D71-AFA8-177ECBC8BCF0}"/>
    <cellStyle name="Comma 7 2 4" xfId="2316" xr:uid="{506FD87B-2BCD-4EF7-A707-1CA548729799}"/>
    <cellStyle name="Comma 7 2 4 2" xfId="5869" xr:uid="{D500CD53-C4A2-4BD0-953D-27C9BC2EF659}"/>
    <cellStyle name="Comma 7 2 4 3" xfId="5510" xr:uid="{3294F27D-BBA9-4B4A-AD30-4198C558D165}"/>
    <cellStyle name="Comma 7 2 5" xfId="1061" xr:uid="{7A0968E6-69A0-478F-A90D-128BBC81FCFF}"/>
    <cellStyle name="Comma 7 2 6" xfId="7127" xr:uid="{8B533599-A698-4C30-BA29-7D5B11214EE3}"/>
    <cellStyle name="Comma 7 2 7" xfId="7356" xr:uid="{623FEF7B-7A49-49D6-A6C8-85A4C73BA5F1}"/>
    <cellStyle name="Comma 7 3" xfId="22" xr:uid="{7C1173F1-4A2F-4435-8EE6-F79EA1C5CE7B}"/>
    <cellStyle name="Comma 7 3 2" xfId="4639" xr:uid="{721937F1-F750-4451-B30E-0195EC3EE8A6}"/>
    <cellStyle name="Comma 7 3 3" xfId="4059" xr:uid="{F99DF19F-ED46-480D-ACFF-B47E3C7714B3}"/>
    <cellStyle name="Comma 7 3 4" xfId="1151" xr:uid="{8502A4C8-1E65-450E-8BDB-9CB3181E8A13}"/>
    <cellStyle name="Comma 7 3 5" xfId="7028" xr:uid="{C29BA8D7-74F6-4526-9034-F517A2DD2642}"/>
    <cellStyle name="Comma 7 4" xfId="86" xr:uid="{B919324D-C994-44FC-9235-7D68A75E2135}"/>
    <cellStyle name="Comma 7 4 2" xfId="4641" xr:uid="{8C242224-B93D-4829-BE74-75FD63119542}"/>
    <cellStyle name="Comma 7 4 3" xfId="4114" xr:uid="{919D59D0-6609-4D6F-9529-89952D93D4D5}"/>
    <cellStyle name="Comma 7 4 4" xfId="1286" xr:uid="{AEF22D20-975B-44A0-A676-AA144D3CB444}"/>
    <cellStyle name="Comma 7 5" xfId="319" xr:uid="{5169A9B1-A452-4AB3-BED7-CC5DA3AF5C48}"/>
    <cellStyle name="Comma 7 5 2" xfId="5638" xr:uid="{196F8DE6-DEE0-4C6F-A004-C6C2AAE701FC}"/>
    <cellStyle name="Comma 7 5 3" xfId="5428" xr:uid="{0DB8E5CF-B1C5-4F7D-A41E-A99E29BE6893}"/>
    <cellStyle name="Comma 7 5 4" xfId="2587" xr:uid="{3CD9B6A4-3EE1-4EE8-9D95-ABC16F0167DC}"/>
    <cellStyle name="Comma 7 6" xfId="5626" xr:uid="{97A2DBF7-E076-4E9F-BCA8-0463C0EC8618}"/>
    <cellStyle name="Comma 7 6 2" xfId="5933" xr:uid="{617780F6-76BF-4B20-B444-8F831E700F62}"/>
    <cellStyle name="Comma 7 7" xfId="716" xr:uid="{90187129-6F93-4489-8B6A-F02667E1F5CD}"/>
    <cellStyle name="Comma 7 8" xfId="7296" xr:uid="{EC6F5827-1FF7-44E9-A1A4-96EF7708568E}"/>
    <cellStyle name="Comma 7 9" xfId="7258" xr:uid="{982B6DE8-4185-4424-8D3C-8C8E4E954DD0}"/>
    <cellStyle name="Comma 70" xfId="5445" xr:uid="{EC4A6DE1-D33D-495E-8357-4D160F035C77}"/>
    <cellStyle name="Comma 71" xfId="667" xr:uid="{51AE0F92-E350-43FE-8CAC-165B53573204}"/>
    <cellStyle name="Comma 72" xfId="7002" xr:uid="{4CE2EE62-96BF-4EF6-8AEC-0AF1052D9FA6}"/>
    <cellStyle name="Comma 73" xfId="7035" xr:uid="{24E6D25B-6D5B-4548-9196-D5945F6E3549}"/>
    <cellStyle name="Comma 74" xfId="7021" xr:uid="{5434CFDC-AC30-4EF8-82A8-0A27ED70AF81}"/>
    <cellStyle name="Comma 75" xfId="7077" xr:uid="{BA01FB9F-5B24-4411-AD11-D493410DE294}"/>
    <cellStyle name="Comma 76" xfId="7054" xr:uid="{8D921BC8-6EF8-4E46-99C2-CEDB01CC3508}"/>
    <cellStyle name="Comma 77" xfId="7113" xr:uid="{550EE302-082D-48B0-A9EA-426429993D24}"/>
    <cellStyle name="Comma 78" xfId="7216" xr:uid="{6F17179D-BA48-4A31-A989-606EFEDB5463}"/>
    <cellStyle name="Comma 79" xfId="7149" xr:uid="{491EF918-C7E7-4C39-8A35-8EEA84C06F19}"/>
    <cellStyle name="Comma 8" xfId="65" xr:uid="{24F0D490-647D-46E5-8EC9-F1CE3A355DB4}"/>
    <cellStyle name="Comma 8 10" xfId="5628" xr:uid="{1A5833EF-C5E9-4D67-863D-97D4C340C102}"/>
    <cellStyle name="Comma 8 10 2" xfId="5934" xr:uid="{90B3B93D-0D46-4E92-BD33-5AB6C6604FD9}"/>
    <cellStyle name="Comma 8 10 2 2" xfId="6949" xr:uid="{9384C23D-076C-49FB-855B-14050AA8F3A7}"/>
    <cellStyle name="Comma 8 10 3" xfId="6559" xr:uid="{1B58278A-A049-426E-8CBA-5EE99306201E}"/>
    <cellStyle name="Comma 8 11" xfId="6073" xr:uid="{1040453D-D4D0-4679-80A6-863AB4A96A90}"/>
    <cellStyle name="Comma 8 12" xfId="388" xr:uid="{F930CFED-D937-4A2F-962A-8747B392947B}"/>
    <cellStyle name="Comma 8 13" xfId="950" xr:uid="{0226A512-8CBC-4EFB-AE65-423C9D5393ED}"/>
    <cellStyle name="Comma 8 14" xfId="7141" xr:uid="{78338FAA-8C8F-4C16-8AA4-C355EBAC40AB}"/>
    <cellStyle name="Comma 8 2" xfId="320" xr:uid="{CDA6E95F-E37D-4F34-BD37-EF7F20839CC8}"/>
    <cellStyle name="Comma 8 2 2" xfId="1467" xr:uid="{DE890F7A-23E4-434B-A7BB-1E24DAC29A30}"/>
    <cellStyle name="Comma 8 2 2 2" xfId="5676" xr:uid="{A53A194C-CB8C-4A12-ADB8-1CF5C7D40FE5}"/>
    <cellStyle name="Comma 8 2 2 3" xfId="5529" xr:uid="{0FC153AC-7104-4F3F-8B45-BC77DA1FB801}"/>
    <cellStyle name="Comma 8 2 3" xfId="2627" xr:uid="{33535468-DCA1-4491-9D95-BB2E31B9CD1B}"/>
    <cellStyle name="Comma 8 2 3 2" xfId="5952" xr:uid="{E6622562-A9AC-47E5-A0A3-FDD7816E5A35}"/>
    <cellStyle name="Comma 8 2 4" xfId="5511" xr:uid="{2C61118F-46B7-44B3-8026-74805527354D}"/>
    <cellStyle name="Comma 8 2 4 2" xfId="5870" xr:uid="{68267A82-B6AE-4E9A-9D30-6E3AE3B938CB}"/>
    <cellStyle name="Comma 8 2 5" xfId="1062" xr:uid="{24B3084E-F3C7-4727-B756-A00037AB2DE9}"/>
    <cellStyle name="Comma 8 3" xfId="1152" xr:uid="{5DA9C853-DA83-4722-BF9A-2589BB97DC93}"/>
    <cellStyle name="Comma 8 3 2" xfId="1677" xr:uid="{5662BD26-7C50-4C82-8DB1-9E909070CB90}"/>
    <cellStyle name="Comma 8 3 2 2" xfId="2814" xr:uid="{CC182311-64E5-4CC1-85C6-1C23DB889C29}"/>
    <cellStyle name="Comma 8 3 2 2 2" xfId="5790" xr:uid="{A00F00C9-7262-4345-8F43-D39C55151AE7}"/>
    <cellStyle name="Comma 8 3 2 2 2 2" xfId="6784" xr:uid="{5F4B086C-842D-4B75-A327-4ECD6F2683D5}"/>
    <cellStyle name="Comma 8 3 2 2 3" xfId="6245" xr:uid="{2F3300A4-3F87-4CC6-AE28-F7B665D58AEA}"/>
    <cellStyle name="Comma 8 3 2 3" xfId="4261" xr:uid="{C8675F53-B190-4637-B5DE-06D439114B4E}"/>
    <cellStyle name="Comma 8 3 2 3 2" xfId="6622" xr:uid="{5B060D8D-BAFE-479D-BE71-E07A646C6034}"/>
    <cellStyle name="Comma 8 3 2 4" xfId="5084" xr:uid="{73EE3076-9CDD-415D-B504-0A096ACFDB2C}"/>
    <cellStyle name="Comma 8 3 2 4 2" xfId="6417" xr:uid="{48A129D1-45F5-4DAA-9FE1-D8599C37D979}"/>
    <cellStyle name="Comma 8 3 2 5" xfId="6119" xr:uid="{A5BD0CDE-750D-49C5-82B0-365ADD117A31}"/>
    <cellStyle name="Comma 8 3 3" xfId="1643" xr:uid="{DB0ECABC-0685-4A9D-A367-048204F07100}"/>
    <cellStyle name="Comma 8 3 3 2" xfId="2787" xr:uid="{FED2C049-2684-4AC2-99F9-AB532212FA6B}"/>
    <cellStyle name="Comma 8 3 3 2 2" xfId="5764" xr:uid="{D1E2153A-4A27-43BE-BD09-781911490FF9}"/>
    <cellStyle name="Comma 8 3 3 2 2 2" xfId="6758" xr:uid="{A423320A-FC8A-4222-A94B-6FE3CA26AD51}"/>
    <cellStyle name="Comma 8 3 3 2 3" xfId="6219" xr:uid="{53D1ACC9-9FAC-44EE-BFE7-4086128B6C7F}"/>
    <cellStyle name="Comma 8 3 3 3" xfId="4233" xr:uid="{DCDEAD41-67B7-4C12-8016-D43BCA7FF7B7}"/>
    <cellStyle name="Comma 8 3 3 3 2" xfId="6598" xr:uid="{9257DD65-DEE4-4ABD-9F8D-2E03C7912A58}"/>
    <cellStyle name="Comma 8 3 3 4" xfId="5058" xr:uid="{165F8308-B453-4F6A-B66B-3166A88448D9}"/>
    <cellStyle name="Comma 8 3 3 4 2" xfId="6391" xr:uid="{A21191B1-7856-4E3E-B70F-C546F9577EED}"/>
    <cellStyle name="Comma 8 3 3 5" xfId="6101" xr:uid="{9CD54E51-C569-4B7A-AF8C-17A7487C0202}"/>
    <cellStyle name="Comma 8 3 4" xfId="4638" xr:uid="{E7A505D8-945B-4066-BDDA-FDA53E598DE6}"/>
    <cellStyle name="Comma 8 3 4 2" xfId="5660" xr:uid="{B7EAA4B1-7505-4BD8-AA83-DF97979BB738}"/>
    <cellStyle name="Comma 8 3 5" xfId="4060" xr:uid="{FA3D9A03-B70D-4F19-AC7A-9FFB73A1BE94}"/>
    <cellStyle name="Comma 8 3 6" xfId="3241" xr:uid="{8361060A-F1B1-464A-8CF5-9C57E16DEE01}"/>
    <cellStyle name="Comma 8 4" xfId="1661" xr:uid="{4CC90141-316F-4ECE-BA34-4A924B65555B}"/>
    <cellStyle name="Comma 8 4 2" xfId="1687" xr:uid="{DC8B584C-A96D-45EB-A5EF-C0777F308F88}"/>
    <cellStyle name="Comma 8 4 2 2" xfId="2824" xr:uid="{3275456D-5CB6-44F0-BFE6-BCF2875823B4}"/>
    <cellStyle name="Comma 8 4 2 2 2" xfId="5800" xr:uid="{25E50980-7EF1-40BD-90BA-13F55AB6FAC0}"/>
    <cellStyle name="Comma 8 4 2 2 2 2" xfId="6794" xr:uid="{A1C355BC-EBAF-4BEF-B1BE-8C4AD52D9DBA}"/>
    <cellStyle name="Comma 8 4 2 2 3" xfId="6255" xr:uid="{58BA32B7-77CC-4D77-BE28-99F01B3F8BE2}"/>
    <cellStyle name="Comma 8 4 2 3" xfId="4271" xr:uid="{04AB4AA9-C650-4604-9148-4559B074E27C}"/>
    <cellStyle name="Comma 8 4 2 3 2" xfId="6632" xr:uid="{E8547FD9-BCF0-4DB0-A273-7B7CA0566130}"/>
    <cellStyle name="Comma 8 4 2 4" xfId="5094" xr:uid="{AB2716D7-9B6D-43CD-9E30-36C04003B1D5}"/>
    <cellStyle name="Comma 8 4 2 4 2" xfId="6427" xr:uid="{A2ED89BB-F9BE-44F2-BB0E-7684EE313E6A}"/>
    <cellStyle name="Comma 8 4 2 5" xfId="6127" xr:uid="{162EB329-7BB0-4BB5-A934-661084049152}"/>
    <cellStyle name="Comma 8 4 3" xfId="2798" xr:uid="{EDB64049-8281-4569-ABB1-52A53D1D8CC9}"/>
    <cellStyle name="Comma 8 4 3 2" xfId="5774" xr:uid="{3DED4865-AADE-4467-95C0-BB23BF5942D2}"/>
    <cellStyle name="Comma 8 4 3 2 2" xfId="6768" xr:uid="{EA95CEA0-BA17-4B8F-96F5-5A078BF1BDF9}"/>
    <cellStyle name="Comma 8 4 3 3" xfId="6229" xr:uid="{AE612CC0-D1EE-47AA-9FD3-DF3219D19767}"/>
    <cellStyle name="Comma 8 4 4" xfId="4245" xr:uid="{2439A12A-6AA8-4871-A2F3-DC1D7BECCBFC}"/>
    <cellStyle name="Comma 8 4 4 2" xfId="6607" xr:uid="{4C0CD4D5-19D7-4440-B62B-2B337DCDD7AE}"/>
    <cellStyle name="Comma 8 4 5" xfId="5068" xr:uid="{17AA23C4-65F5-4A95-BD51-F5C4FCD478CC}"/>
    <cellStyle name="Comma 8 4 5 2" xfId="6401" xr:uid="{BDA9DD22-EA21-4FFD-89FC-44A6511FC8FF}"/>
    <cellStyle name="Comma 8 4 6" xfId="6108" xr:uid="{C4FA3D12-E13D-419C-9F50-0515D927E5DC}"/>
    <cellStyle name="Comma 8 5" xfId="1636" xr:uid="{17C75DE3-7A84-44F3-B303-E49F52D3FC5E}"/>
    <cellStyle name="Comma 8 5 2" xfId="2782" xr:uid="{DD3160E3-02FB-4A75-BD12-D66D05719229}"/>
    <cellStyle name="Comma 8 5 2 2" xfId="5759" xr:uid="{3B50C633-897B-4FCD-9A52-1F22655975D4}"/>
    <cellStyle name="Comma 8 5 2 2 2" xfId="6753" xr:uid="{24F58340-CFB1-4100-AEE9-7DF769A2A2F8}"/>
    <cellStyle name="Comma 8 5 2 3" xfId="6214" xr:uid="{70B3C75C-CC53-487D-A980-5DBCD6C7A0D9}"/>
    <cellStyle name="Comma 8 5 3" xfId="4226" xr:uid="{024FD366-64E6-4715-81B6-078AD0E14C4A}"/>
    <cellStyle name="Comma 8 5 3 2" xfId="6593" xr:uid="{82ACC9A1-9482-4E1D-B05F-B4A3BBC009DE}"/>
    <cellStyle name="Comma 8 5 4" xfId="5053" xr:uid="{BD4A230B-2C58-47D3-8EAB-8CD70C1A8FA0}"/>
    <cellStyle name="Comma 8 5 4 2" xfId="6386" xr:uid="{E135DCE0-1CC7-426D-B091-6DC7AA684856}"/>
    <cellStyle name="Comma 8 5 5" xfId="6096" xr:uid="{6974626A-579C-427D-A105-D7F412CDB425}"/>
    <cellStyle name="Comma 8 6" xfId="1672" xr:uid="{6FE61039-DAD2-4726-A378-0C56B537ECA9}"/>
    <cellStyle name="Comma 8 6 2" xfId="2809" xr:uid="{222EC728-858C-413C-AEB0-81823625EC67}"/>
    <cellStyle name="Comma 8 6 2 2" xfId="5785" xr:uid="{D93DD2B6-4C1A-4DD7-A2A9-46F3DC4AD943}"/>
    <cellStyle name="Comma 8 6 2 2 2" xfId="6779" xr:uid="{8790E260-9452-43B2-9FAE-6CF7B20DC99E}"/>
    <cellStyle name="Comma 8 6 2 3" xfId="6240" xr:uid="{F9A72861-9D5D-4624-B5F0-561DFE0CED17}"/>
    <cellStyle name="Comma 8 6 3" xfId="4256" xr:uid="{F38CC17D-0C75-4FF3-BCCB-75B1A073B322}"/>
    <cellStyle name="Comma 8 6 3 2" xfId="6617" xr:uid="{8BD53A29-2AB8-4F02-83E8-3C6D7B89D689}"/>
    <cellStyle name="Comma 8 6 4" xfId="5079" xr:uid="{93E4617A-351D-434E-9676-B386A080C4D6}"/>
    <cellStyle name="Comma 8 6 4 2" xfId="6412" xr:uid="{B0BD3309-340B-4DFD-80A3-6AA37CF81494}"/>
    <cellStyle name="Comma 8 6 5" xfId="6114" xr:uid="{E61935A2-8FB3-4F02-BAA0-43D98924FAA0}"/>
    <cellStyle name="Comma 8 7" xfId="1288" xr:uid="{F094D23C-2161-4002-A498-2E3E5A0883BD}"/>
    <cellStyle name="Comma 8 7 2" xfId="2690" xr:uid="{7CA6503B-9391-4EAE-90FD-BBB9C0A23147}"/>
    <cellStyle name="Comma 8 7 2 2" xfId="5752" xr:uid="{F711FF39-7B3E-4471-A299-7A6B4CE8F35F}"/>
    <cellStyle name="Comma 8 7 2 2 2" xfId="6746" xr:uid="{4BF1AB9D-655F-4D2D-B1E2-DDCE3EFFD420}"/>
    <cellStyle name="Comma 8 7 2 3" xfId="6207" xr:uid="{4EE1F89A-3A5F-4607-867A-A436A86CD4CF}"/>
    <cellStyle name="Comma 8 7 3" xfId="4116" xr:uid="{129F5439-42EC-46F0-A541-AB6DB68D03E3}"/>
    <cellStyle name="Comma 8 7 3 2" xfId="6588" xr:uid="{E690CC03-3FD3-4CAF-9A8E-9CC5B05A8EEE}"/>
    <cellStyle name="Comma 8 7 4" xfId="5046" xr:uid="{23863E03-E9FE-4099-96B4-3DB86EF1A0EC}"/>
    <cellStyle name="Comma 8 7 4 2" xfId="6379" xr:uid="{C2660DF2-C33F-4FF2-B00C-0CDE0F1BDD1A}"/>
    <cellStyle name="Comma 8 7 5" xfId="6092" xr:uid="{1F47E039-73D7-4B70-868F-60787F8900E5}"/>
    <cellStyle name="Comma 8 8" xfId="2588" xr:uid="{2D3E13B8-CC67-42F7-B200-2D45CE5B8880}"/>
    <cellStyle name="Comma 8 8 2" xfId="5639" xr:uid="{3CD428EA-4B86-4E04-AA6A-0D1F081A98E0}"/>
    <cellStyle name="Comma 8 8 3" xfId="5429" xr:uid="{A8234F86-03D8-47B4-A397-DE56065EB27A}"/>
    <cellStyle name="Comma 8 9" xfId="5458" xr:uid="{6103A06A-FA64-495C-91DC-85FC89C1A572}"/>
    <cellStyle name="Comma 8 9 2" xfId="5739" xr:uid="{682BC1EB-9432-418C-A4A5-94950F328CED}"/>
    <cellStyle name="Comma 8 9 2 2" xfId="6707" xr:uid="{43977B9B-0A57-4D22-ADD9-4EB0AE8157E4}"/>
    <cellStyle name="Comma 8 9 3" xfId="6185" xr:uid="{30E01EDC-FC02-4047-B24A-6AC7501C8E7F}"/>
    <cellStyle name="Comma 80" xfId="7020" xr:uid="{761D695F-7D41-432A-97D8-E4E316B74818}"/>
    <cellStyle name="Comma 81" xfId="7097" xr:uid="{F7ABBE95-23B6-4ABF-B744-74984BCE0BE6}"/>
    <cellStyle name="Comma 82" xfId="7047" xr:uid="{68A6A81C-DF48-430E-A0B9-6EFC4CE6E9E8}"/>
    <cellStyle name="Comma 83" xfId="7048" xr:uid="{EF8516C6-922D-4E80-AAEC-0DF5FE24EF80}"/>
    <cellStyle name="Comma 84" xfId="7025" xr:uid="{F92C0AE1-DCA9-4892-A987-3E238C0358E9}"/>
    <cellStyle name="Comma 85" xfId="7139" xr:uid="{1DEE36F0-A5CF-44B4-944E-906F2F393BBD}"/>
    <cellStyle name="Comma 86" xfId="7026" xr:uid="{DA40B449-C55C-477B-B1CF-C6E97E28809D}"/>
    <cellStyle name="Comma 87" xfId="7010" xr:uid="{6DFC6556-7CD7-49B3-B372-C7565921973C}"/>
    <cellStyle name="Comma 88" xfId="7228" xr:uid="{959AEF17-640E-4D04-A0C3-982E87CD8353}"/>
    <cellStyle name="Comma 89" xfId="7231" xr:uid="{35651A30-0D87-41CB-9A07-9D573B978506}"/>
    <cellStyle name="Comma 9" xfId="198" xr:uid="{3D4CC404-6129-4FE6-9E02-31D7E68C0F90}"/>
    <cellStyle name="Comma 9 2" xfId="321" xr:uid="{EE666481-EF68-4B75-A7DC-EF5BF9043A08}"/>
    <cellStyle name="Comma 9 2 2" xfId="1466" xr:uid="{C6A71790-64B7-47AF-ACE6-99AF453140AE}"/>
    <cellStyle name="Comma 9 2 2 2" xfId="4746" xr:uid="{324B913A-14CB-4361-A92E-3A9E3FF998C3}"/>
    <cellStyle name="Comma 9 2 2 3" xfId="4170" xr:uid="{558EDE4A-1F4E-42DA-A43C-399CFAE72144}"/>
    <cellStyle name="Comma 9 2 2 4" xfId="3461" xr:uid="{45C59FA5-A488-44D4-A0C5-3DF7F2D40778}"/>
    <cellStyle name="Comma 9 2 3" xfId="2628" xr:uid="{E775EA73-0956-4254-9B5F-5A71D9CD70AA}"/>
    <cellStyle name="Comma 9 2 3 2" xfId="4739" xr:uid="{F03E2C76-F702-4DA3-881C-1F22018300AF}"/>
    <cellStyle name="Comma 9 2 3 2 2" xfId="5953" xr:uid="{A9C2E96F-0088-4C40-A48F-CECA646D14B2}"/>
    <cellStyle name="Comma 9 2 3 3" xfId="3455" xr:uid="{01C3D196-EC67-473C-9E49-ADC3640BD992}"/>
    <cellStyle name="Comma 9 2 4" xfId="1975" xr:uid="{49821BA4-1EFF-46D9-AF0F-735967FAE1FB}"/>
    <cellStyle name="Comma 9 2 4 2" xfId="5871" xr:uid="{D6E3363F-36E2-4783-B754-FBCB3AF6E854}"/>
    <cellStyle name="Comma 9 2 4 3" xfId="5512" xr:uid="{CC98047F-2041-4389-A985-D2387CB19009}"/>
    <cellStyle name="Comma 9 2 5" xfId="4445" xr:uid="{2FD4C1E8-22C6-4381-B522-06E27E69B44B}"/>
    <cellStyle name="Comma 9 2 6" xfId="4008" xr:uid="{81D2F107-B621-4350-A855-49A873CFBF7E}"/>
    <cellStyle name="Comma 9 2 7" xfId="1063" xr:uid="{8E04D194-EC5D-4001-973B-06C6A630FC4B}"/>
    <cellStyle name="Comma 9 3" xfId="1153" xr:uid="{C9F1FF53-E7AB-41E6-BE76-C18120666654}"/>
    <cellStyle name="Comma 9 3 2" xfId="4675" xr:uid="{92AAD04B-F3A3-4AA9-82AB-0DCD1E767DA8}"/>
    <cellStyle name="Comma 9 3 3" xfId="4061" xr:uid="{FA634CC8-C809-4AC2-AFAF-E84E213DE629}"/>
    <cellStyle name="Comma 9 4" xfId="1289" xr:uid="{839FFF45-E8F9-4B19-ADE5-83ADFC8C150D}"/>
    <cellStyle name="Comma 9 4 2" xfId="4637" xr:uid="{4931DA73-5074-4AE4-9D7C-226A555AA749}"/>
    <cellStyle name="Comma 9 4 3" xfId="4117" xr:uid="{201BBDC0-18CD-4B85-B81A-971A382115C2}"/>
    <cellStyle name="Comma 9 4 4" xfId="3240" xr:uid="{8AC53FBD-8A5A-4AF7-BB53-CBEABE30B9DD}"/>
    <cellStyle name="Comma 9 5" xfId="1929" xr:uid="{91AE3268-0BD0-4B3C-9575-6161A5A837A9}"/>
    <cellStyle name="Comma 9 5 2" xfId="3004" xr:uid="{14ADF23C-0B59-4C4C-A8BC-A1AA62513926}"/>
    <cellStyle name="Comma 9 5 2 2" xfId="5640" xr:uid="{C27A292F-8AA2-40E7-B1A4-3E66DCC456B9}"/>
    <cellStyle name="Comma 9 5 3" xfId="5430" xr:uid="{77AFC92B-66C3-4CEC-8263-90789C556250}"/>
    <cellStyle name="Comma 9 6" xfId="2589" xr:uid="{9FCBE090-6EBB-4680-9E48-805C7C592CAA}"/>
    <cellStyle name="Comma 9 6 2" xfId="5935" xr:uid="{418EC4C7-DA2B-43AD-BB66-3CDF27C5A8E4}"/>
    <cellStyle name="Comma 9 6 3" xfId="5629" xr:uid="{59543A50-6CC6-4BB2-905C-02AE321097C5}"/>
    <cellStyle name="Comma 9 7" xfId="819" xr:uid="{91806055-4563-491B-A15B-5A3533A3B970}"/>
    <cellStyle name="Comma 9 8" xfId="7122" xr:uid="{6F156DD6-0A3D-4195-813A-97AA7F6069C7}"/>
    <cellStyle name="Comma 90" xfId="7044" xr:uid="{0D106AE7-AB7E-4FDC-8371-2F105C720A40}"/>
    <cellStyle name="Comma 91" xfId="7049" xr:uid="{BC272407-CF7E-4B1C-BA09-7991CC1252F6}"/>
    <cellStyle name="Comma 92" xfId="7198" xr:uid="{F33E768D-DABF-4B48-880B-83EC5B9E3749}"/>
    <cellStyle name="Comma 93" xfId="7265" xr:uid="{DD6B5404-6240-4226-928C-C6BDC5AFF958}"/>
    <cellStyle name="Comma 94" xfId="7209" xr:uid="{44A37D3C-4901-4C06-A23F-3B87533EA2B8}"/>
    <cellStyle name="Comma 95" xfId="7184" xr:uid="{F78804F4-B326-428E-9FF1-905A5D727455}"/>
    <cellStyle name="Comma 96" xfId="7147" xr:uid="{81F49ADD-8DFF-4D7F-8C22-72DA0F22F8B2}"/>
    <cellStyle name="Comma 97" xfId="7144" xr:uid="{1DD71FA0-D911-4564-8499-6394EF4F8323}"/>
    <cellStyle name="Comma 98" xfId="7157" xr:uid="{866EF9E0-0217-4E4E-A988-F7E2BA14133F}"/>
    <cellStyle name="Comma 99" xfId="7262" xr:uid="{24C7823D-C6C9-4786-843A-910A701142C9}"/>
    <cellStyle name="comma zerodec" xfId="87" xr:uid="{B2210BF7-B953-4F70-B957-B8A7F1CB9523}"/>
    <cellStyle name="comma zerodec 2" xfId="744" xr:uid="{DCBC6213-127B-4D58-917C-7605A57CA3F3}"/>
    <cellStyle name="comma zerodec 3" xfId="960" xr:uid="{8DCF1B8F-7307-4EDC-88EC-3640F5DFEA28}"/>
    <cellStyle name="comma zerodec 4" xfId="790" xr:uid="{FF15EB7C-9FBD-4F6C-8E59-2577A2BCE64A}"/>
    <cellStyle name="Comma0" xfId="679" xr:uid="{3CA259E5-FC2E-4793-AE9C-EC82CD5C33B7}"/>
    <cellStyle name="Company Name" xfId="638" xr:uid="{55E9439F-2221-4EE1-B661-17F85D985044}"/>
    <cellStyle name="Copied" xfId="939" xr:uid="{097EF8F5-F8CE-4DAA-A548-7BDB375E93B8}"/>
    <cellStyle name="cordia" xfId="1974" xr:uid="{8AD3BC4D-7AD5-4AEC-87D9-5CD64FCA0EF6}"/>
    <cellStyle name="Cover Date" xfId="88" xr:uid="{73DDD2E9-E8C9-4E01-8C39-0ED2DCCC0CEE}"/>
    <cellStyle name="Cover Date 2" xfId="322" xr:uid="{2D352D7D-CEC5-41AE-B541-37ABF0598C62}"/>
    <cellStyle name="Cover Date 3" xfId="209" xr:uid="{B18FA125-EB53-48DA-9208-470BFB981887}"/>
    <cellStyle name="Cover Subtitle" xfId="89" xr:uid="{C4462046-DA1D-4CCA-8204-845ADEDB313F}"/>
    <cellStyle name="Cover Subtitle 2" xfId="323" xr:uid="{84E94E87-A8B2-46AD-9276-F8DED4DB0FF8}"/>
    <cellStyle name="Cover Subtitle 3" xfId="210" xr:uid="{816EC4C2-96E9-4D37-A59E-9C83B23C6709}"/>
    <cellStyle name="Cover Title" xfId="90" xr:uid="{30556251-8C8C-41F9-AD2C-CAB588A9A681}"/>
    <cellStyle name="Cover Title 2" xfId="324" xr:uid="{DB140FEA-49E1-482F-A7C0-4387484E8B1A}"/>
    <cellStyle name="Cover Title 3" xfId="211" xr:uid="{BE58CD4D-1B62-4014-8E98-1054CAFFF4E1}"/>
    <cellStyle name="Credit" xfId="791" xr:uid="{C6DA097D-9EC3-4ED5-B4C4-3E11CC6ECE7C}"/>
    <cellStyle name="Credit subtotal" xfId="843" xr:uid="{2D1CA023-90C2-46EB-8EA5-24EB691F4C35}"/>
    <cellStyle name="Credit Total" xfId="937" xr:uid="{33B6D020-B3E8-4EC7-BA33-A8645683FDD9}"/>
    <cellStyle name="Curren - Style3" xfId="887" xr:uid="{6520144F-4E39-4513-8B25-B387870AE3A0}"/>
    <cellStyle name="Curren - Style4" xfId="829" xr:uid="{E0669A94-25B6-45D9-B9F8-690771924C5C}"/>
    <cellStyle name="Currency [00]" xfId="892" xr:uid="{54C899B7-20E7-496E-8553-3E18D872B3A4}"/>
    <cellStyle name="Currency 10" xfId="792" xr:uid="{74B5AD76-7F9D-477E-BC9C-E724D624EA4D}"/>
    <cellStyle name="Currency 2" xfId="9" xr:uid="{A9B89B04-FD0E-4A66-B1D0-5B6B43726DD2}"/>
    <cellStyle name="Currency 2 2" xfId="3448" xr:uid="{0A2E0F0B-6728-4BA9-B1BA-B7D3C3D8A1A8}"/>
    <cellStyle name="Currency 2 3" xfId="3019" xr:uid="{5C2FFA86-F0F0-45CD-A0D9-EE2721E0C21F}"/>
    <cellStyle name="Currency 2 4" xfId="2204" xr:uid="{4A8C3B41-7479-476F-AEF1-130428F05E88}"/>
    <cellStyle name="Currency 2 5" xfId="621" xr:uid="{D369154A-7DF0-4C73-A19A-D88B323118FD}"/>
    <cellStyle name="Currency 2 6" xfId="7135" xr:uid="{7FC9C37A-0055-4F31-BA95-D6D546855940}"/>
    <cellStyle name="Currency 3" xfId="707" xr:uid="{89C63449-D2BE-4573-B981-32353C4BD14F}"/>
    <cellStyle name="Currency 4" xfId="817" xr:uid="{9AA88F40-1526-4F69-8AB2-44C5D6E7ECB8}"/>
    <cellStyle name="Currency 5" xfId="894" xr:uid="{E45230D0-F9F3-409E-85D6-5D6E508846B2}"/>
    <cellStyle name="Currency 6" xfId="770" xr:uid="{8D98FE5C-6F1A-4AE4-BE90-5F24B9E35BD3}"/>
    <cellStyle name="Currency 7" xfId="882" xr:uid="{4E87B190-8EEF-4393-A28D-DFE616A15B25}"/>
    <cellStyle name="Currency 8" xfId="655" xr:uid="{890B2AE7-D140-4256-B9B5-8A09FB2398E5}"/>
    <cellStyle name="Currency 9" xfId="680" xr:uid="{B0FD9B5E-EDC8-497C-A5F2-7FF2B7E093FB}"/>
    <cellStyle name="Currency0" xfId="653" xr:uid="{C804C07A-3271-47DD-AF4F-398DC2F43664}"/>
    <cellStyle name="Currency1" xfId="91" xr:uid="{A772329B-0026-45D5-AFD3-C97EC57786FF}"/>
    <cellStyle name="Currency1 2" xfId="765" xr:uid="{F4E560C2-F45E-4FB7-A6E0-29EB17CF9DFC}"/>
    <cellStyle name="Currency1 3" xfId="690" xr:uid="{71973183-6D28-47FE-BE39-E9C912315A26}"/>
    <cellStyle name="Currency1 4" xfId="401" xr:uid="{19AD70BD-D159-4F44-A27A-3A160B6883AA}"/>
    <cellStyle name="Currency2" xfId="1973" xr:uid="{418E6272-FFC8-4A6A-8AE4-A015F128027E}"/>
    <cellStyle name="Dan" xfId="903" xr:uid="{26564970-1C27-44D7-A4B8-0D30A8C44231}"/>
    <cellStyle name="DataPilot Category" xfId="3447" xr:uid="{E8784AEF-FF78-48C8-9DD2-B3661CF270E5}"/>
    <cellStyle name="DataPilot Corner" xfId="3452" xr:uid="{5D581B62-DC17-4DAD-9E09-1369FB771F93}"/>
    <cellStyle name="DataPilot Field" xfId="3446" xr:uid="{9E41B39C-6339-46B2-9265-2B4E09531EC1}"/>
    <cellStyle name="DataPilot Result" xfId="3445" xr:uid="{2615460C-D358-4083-99F6-11F15A316281}"/>
    <cellStyle name="DataPilot Title" xfId="3444" xr:uid="{2FE46B7D-646A-4E92-84AD-45124264E5BC}"/>
    <cellStyle name="DataPilot Value" xfId="3451" xr:uid="{4F45EEFE-ACCD-4E91-8842-A870B4C221C4}"/>
    <cellStyle name="Date" xfId="708" xr:uid="{F55ADF83-E421-4F8E-ADDB-8760ADCFEDC1}"/>
    <cellStyle name="Date Short" xfId="618" xr:uid="{165B2E9B-E4F5-458A-A8A3-A0726FD37C81}"/>
    <cellStyle name="Date Short 2" xfId="1700" xr:uid="{AFFAF1C2-D90C-42DC-8A30-F7A71FDFF701}"/>
    <cellStyle name="Debit" xfId="643" xr:uid="{09DA367D-A774-43D5-B3E4-843DA4385AC3}"/>
    <cellStyle name="Debit subtotal" xfId="899" xr:uid="{1D233F53-52B9-48F9-AC02-2D5D12AFB241}"/>
    <cellStyle name="Debit Total" xfId="642" xr:uid="{4F0FE78B-BE54-4825-AFB5-5D89BD834CEE}"/>
    <cellStyle name="DELTA" xfId="923" xr:uid="{99395B7C-E631-41AB-8635-6DE10C2267B1}"/>
    <cellStyle name="DELTA 2" xfId="720" xr:uid="{05E3D907-0186-4108-90E1-7355E4AF9CD7}"/>
    <cellStyle name="DELTA 2 2" xfId="1064" xr:uid="{E60F25A4-CFE3-4931-AD81-C853FC195FB7}"/>
    <cellStyle name="DELTA 2 2 2" xfId="1295" xr:uid="{48856E77-3189-4ED0-9AA2-F8A0C74D59B1}"/>
    <cellStyle name="DELTA 2 3" xfId="1294" xr:uid="{924F296B-CBBF-44DA-A0B2-99B4ADC39CBB}"/>
    <cellStyle name="DELTA 3" xfId="1296" xr:uid="{621DDDD3-59B7-4153-8FF1-532230EC8E0A}"/>
    <cellStyle name="DELTA_Bank Recconcile 14 Oct 2016" xfId="3450" xr:uid="{3DAF07AB-0752-41DD-9830-A101DC370D65}"/>
    <cellStyle name="Dezimal [0]_Tabelle1" xfId="874" xr:uid="{26C647B5-503E-4355-8495-E99FC186005E}"/>
    <cellStyle name="Dezimal_BS" xfId="313" xr:uid="{0796B5C2-E03C-4955-A98D-BAF05C9A7D45}"/>
    <cellStyle name="Dollar (zero dec)" xfId="92" xr:uid="{5DFD359D-D2ED-4874-B2D1-5250E65D1AD9}"/>
    <cellStyle name="Dollar (zero dec) 2" xfId="846" xr:uid="{B5B74CCE-3F6E-476D-92F5-4FB92C572BA8}"/>
    <cellStyle name="Dollar (zero dec) 3" xfId="622" xr:uid="{9EEC9386-854D-4161-8142-30D43A7BAA89}"/>
    <cellStyle name="Dollar (zero dec) 4" xfId="922" xr:uid="{76DFCB6E-BE5F-414C-97B0-D8A2CE73EDEE}"/>
    <cellStyle name="E&amp;Y House" xfId="93" xr:uid="{E3C6613F-EE49-4499-ADD5-4ACB1D644E9B}"/>
    <cellStyle name="E&amp;Y House 2" xfId="94" xr:uid="{DDC80DEC-4ADD-4C2B-A056-EAC5970E710F}"/>
    <cellStyle name="E&amp;Y House 2 2" xfId="543" xr:uid="{70B4C1DE-0709-4011-A1FC-D92AC00CC8FC}"/>
    <cellStyle name="E&amp;Y House 2 3" xfId="325" xr:uid="{E882B22E-075C-4F07-B0C0-18369847AA69}"/>
    <cellStyle name="E&amp;Y House 3" xfId="95" xr:uid="{C24D396E-03A1-4A24-A6AF-A32D5F2ABFF5}"/>
    <cellStyle name="Enter Currency (0)" xfId="651" xr:uid="{04E35025-C3EA-44C4-BF30-462728B7201F}"/>
    <cellStyle name="Enter Currency (0) 2" xfId="721" xr:uid="{D13440C0-623D-4672-910A-E819CD901C1A}"/>
    <cellStyle name="Enter Currency (0) 2 2" xfId="1065" xr:uid="{863B18FE-CE75-482F-ACDD-9B6C82E6490A}"/>
    <cellStyle name="Enter Currency (0) 2 2 2" xfId="1299" xr:uid="{EB156ED0-49DF-46C6-8C68-EAACBE704C36}"/>
    <cellStyle name="Enter Currency (0) 2 3" xfId="1298" xr:uid="{FFF59373-2ED8-4E04-94DB-7ADC778725E7}"/>
    <cellStyle name="Enter Currency (0) 3" xfId="1300" xr:uid="{7FB1F72D-8700-42CE-AAEF-3F65930190C3}"/>
    <cellStyle name="Enter Currency (0)_Bank Recconcile 14 Oct 2016" xfId="3239" xr:uid="{27827CE9-8063-4FDF-9D28-AAA4503CE9FA}"/>
    <cellStyle name="Enter Currency (2)" xfId="649" xr:uid="{8C3FBC6A-A79C-4383-9F81-4DAC5C604998}"/>
    <cellStyle name="Enter Units (0)" xfId="309" xr:uid="{7E41F1D0-20DC-446B-A32A-8E5EE56D718F}"/>
    <cellStyle name="Enter Units (0) 2" xfId="946" xr:uid="{DF1339DE-AB04-4BEB-8C6F-0DC3C5A08ECC}"/>
    <cellStyle name="Enter Units (0) 2 2" xfId="1066" xr:uid="{DCE3AAF4-DE1E-4E5F-A4E6-6AC9F842A6FB}"/>
    <cellStyle name="Enter Units (0) 2 2 2" xfId="1303" xr:uid="{1D45457B-AEBC-42C2-8606-D3127C7E38AB}"/>
    <cellStyle name="Enter Units (0) 2 3" xfId="1302" xr:uid="{9206AB2F-1E86-4BE4-BC4C-BD2025A37398}"/>
    <cellStyle name="Enter Units (0) 3" xfId="1304" xr:uid="{1F921D84-321C-4CCB-9F6E-97F268853783}"/>
    <cellStyle name="Enter Units (0)_Bank Recconcile 14 Oct 2016" xfId="3238" xr:uid="{E58D7E6F-3987-4976-B713-7BF6751888C4}"/>
    <cellStyle name="Enter Units (1)" xfId="752" xr:uid="{A4B52E34-EDB0-475D-99BA-12B7F3208CB1}"/>
    <cellStyle name="Enter Units (1) 2" xfId="722" xr:uid="{91A5D39C-4FA5-46A6-821A-46DF25B323AF}"/>
    <cellStyle name="Enter Units (1) 2 2" xfId="1067" xr:uid="{8D6F144F-0418-4245-AAA6-98D2AA46FBB2}"/>
    <cellStyle name="Enter Units (1) 2 2 2" xfId="1306" xr:uid="{8DB896AC-03E8-4739-BB7E-656193712EB5}"/>
    <cellStyle name="Enter Units (1) 2 3" xfId="1305" xr:uid="{2C45E8DF-83BC-422F-96D6-F799ED768D5B}"/>
    <cellStyle name="Enter Units (1) 3" xfId="1307" xr:uid="{85A41475-A718-4B28-B80D-8A51FFDBE5F1}"/>
    <cellStyle name="Enter Units (1)_Bank Recconcile 14 Oct 2016" xfId="3443" xr:uid="{2BDAC028-9816-4D52-969C-1DF5462B134E}"/>
    <cellStyle name="Enter Units (2)" xfId="760" xr:uid="{176E0119-1E69-4B79-984C-2748B0B994E0}"/>
    <cellStyle name="Entered" xfId="617" xr:uid="{E0E17EA6-BF31-43FB-AD4D-8ACB089544F3}"/>
    <cellStyle name="Euro" xfId="326" xr:uid="{7D563DD4-231C-47D3-9D69-AA00EF5ABA97}"/>
    <cellStyle name="Euro 1" xfId="1310" xr:uid="{5F054989-DB48-45C6-9C48-594B3006ECCC}"/>
    <cellStyle name="Euro 2" xfId="1309" xr:uid="{75D126C1-1382-4923-89B6-5C762C6D7A5D}"/>
    <cellStyle name="Euro 2 2" xfId="4636" xr:uid="{E4E59138-6107-433B-BFC3-21DD25A97DBB}"/>
    <cellStyle name="Euro 2 3" xfId="4118" xr:uid="{AC6E3A71-723E-4AA5-9E3C-78470469DB58}"/>
    <cellStyle name="Euro 2 4" xfId="3237" xr:uid="{41DEF39F-623F-4AD9-ADBF-9F4FCA3A4EF2}"/>
    <cellStyle name="Euro 3" xfId="3236" xr:uid="{285E50D8-03BD-4044-B99D-39BF0150B738}"/>
    <cellStyle name="Euro 4" xfId="3235" xr:uid="{05CB9CA3-F9A0-4D8F-9F17-48CC3E90C569}"/>
    <cellStyle name="Euro 5" xfId="761" xr:uid="{D0180660-0EC1-41C3-A59E-B31158096B44}"/>
    <cellStyle name="Euro_bs มค-ธค.54" xfId="1311" xr:uid="{ED393A16-CC1A-4A20-8CBB-C9F27EE6A684}"/>
    <cellStyle name="Excel Built-in Comma" xfId="1972" xr:uid="{9A8398AA-B69B-4582-BE31-487341FDDC10}"/>
    <cellStyle name="Excel Built-in Comma 2" xfId="1971" xr:uid="{97DF6A85-54B4-4CC1-925E-706540CED4CA}"/>
    <cellStyle name="Excel Built-in Normal" xfId="1604" xr:uid="{E250E072-5E62-4224-9461-427754F84D6C}"/>
    <cellStyle name="Excel Built-in Normal 2" xfId="1969" xr:uid="{4A7F8AAA-84A4-4A2E-A6D3-B6FE04A08C8B}"/>
    <cellStyle name="Excel Built-in Normal 3" xfId="2760" xr:uid="{1D4CEB31-6AA5-4897-95B4-67728B3BCF9F}"/>
    <cellStyle name="Excel Built-in Normal 3 2" xfId="3234" xr:uid="{C2F5E3FA-DA76-431E-ACF0-596CF21D9FB0}"/>
    <cellStyle name="Excel Built-in Normal 4" xfId="1970" xr:uid="{9C319974-C04B-46FD-9520-B3EB5CCF61B5}"/>
    <cellStyle name="Excel Built-in Normal 5" xfId="4209" xr:uid="{C70C0A30-FBFB-4DAD-977F-986A5CF00631}"/>
    <cellStyle name="Excel Built-in Percent" xfId="1968" xr:uid="{A5F4E394-5EC5-46D7-B1C3-66E43D04F891}"/>
    <cellStyle name="Excel Built-in Percent 2" xfId="1967" xr:uid="{C5D87D22-ECC5-4BDE-B9FA-E6531163437E}"/>
    <cellStyle name="Excel_BuiltIn_Comma 1" xfId="1312" xr:uid="{C9C660AC-8F69-4C03-8833-769FB18D2756}"/>
    <cellStyle name="Explanatory Text 2" xfId="96" xr:uid="{B39247A1-9321-43E2-ABAB-A0BF81525B1F}"/>
    <cellStyle name="Explanatory Text 2 2" xfId="544" xr:uid="{FBB0420C-60BD-4A26-9481-1C61D5563CDF}"/>
    <cellStyle name="Explanatory Text 2 2 2" xfId="1313" xr:uid="{7D15A17E-B078-425D-A40B-A285229B6C24}"/>
    <cellStyle name="Explanatory Text 2 3" xfId="4635" xr:uid="{DF925891-8A67-4BB4-81AE-E9BE3C765C2D}"/>
    <cellStyle name="Explanatory Text 2 3 2" xfId="6049" xr:uid="{9EA60696-518E-4356-9C51-1163DB5E22D1}"/>
    <cellStyle name="Explanatory Text 2 4" xfId="3967" xr:uid="{7B98F974-EFF1-4487-858C-997C8E94AFC5}"/>
    <cellStyle name="Explanatory Text 2 5" xfId="3233" xr:uid="{5E25A2F8-2D46-4482-B442-82BCA4E19CFE}"/>
    <cellStyle name="Explanatory Text 2 6" xfId="866" xr:uid="{47310384-47B7-4FFB-A1B1-C9556563E7D1}"/>
    <cellStyle name="Explanatory Text 2 7" xfId="7078" xr:uid="{2EBBE8F0-C3F6-41D5-8B11-B2DC50DEE46A}"/>
    <cellStyle name="Explanatory Text 3" xfId="486" xr:uid="{9AFBD879-E4A1-4CC4-9B73-B1526F64D7F3}"/>
    <cellStyle name="Explanatory Text 3 2" xfId="1314" xr:uid="{082BF047-2614-4027-9724-471D37700344}"/>
    <cellStyle name="Fixed" xfId="906" xr:uid="{D8BCAC55-5796-4B04-A952-2873BCC70197}"/>
    <cellStyle name="Followed Hyperlink 2" xfId="7191" xr:uid="{90E3DA0C-780D-4E91-9736-E9D942C9A0AD}"/>
    <cellStyle name="Footer SBILogo1" xfId="97" xr:uid="{178136BA-7971-4AB9-BF3C-4CA05517CB06}"/>
    <cellStyle name="Footer SBILogo1 2" xfId="327" xr:uid="{3023E1BC-0E5D-4EE6-9C61-903EEFAD326F}"/>
    <cellStyle name="Footer SBILogo1 3" xfId="215" xr:uid="{E1AC270F-9217-4A77-B888-BA11B8BB5A18}"/>
    <cellStyle name="Footer SBILogo2" xfId="98" xr:uid="{A9907048-7FDA-4466-A376-F3DCA76EDAA4}"/>
    <cellStyle name="Footer SBILogo2 2" xfId="328" xr:uid="{52705FCE-6862-455A-817A-CD2C754C916B}"/>
    <cellStyle name="Footer SBILogo2 3" xfId="216" xr:uid="{EFB715A9-D42D-4CFE-B05A-C11276B2C8C8}"/>
    <cellStyle name="Footnote" xfId="99" xr:uid="{7CB36A8C-DDCD-429F-9C07-60495A83932A}"/>
    <cellStyle name="Footnote 2" xfId="329" xr:uid="{E6B45112-3B65-4B9F-838A-386F93570267}"/>
    <cellStyle name="Footnote 3" xfId="217" xr:uid="{D04896FF-6B28-44B6-BBAE-1A10C2CD9BC5}"/>
    <cellStyle name="Footnote Reference" xfId="100" xr:uid="{5E636F63-368F-4386-AF64-A893B57EBE99}"/>
    <cellStyle name="Footnote Reference 2" xfId="330" xr:uid="{B1C85EDF-0474-4DDF-8C0D-BB47ACF0E1AB}"/>
    <cellStyle name="Footnote Reference 3" xfId="218" xr:uid="{649B11DA-7C5C-4D4E-8A33-E7A19B300E71}"/>
    <cellStyle name="Footnote_BECL WP YE'02" xfId="331" xr:uid="{C19822E7-7DE4-4777-B2BD-CE23E56D9E06}"/>
    <cellStyle name="Format Number Column" xfId="851" xr:uid="{BCE7880F-45CB-43FF-A7FB-5798EEDC5A2C}"/>
    <cellStyle name="FRxAmtStyle" xfId="5273" xr:uid="{25DFEFF0-F98A-4E42-9024-A7C61F38C091}"/>
    <cellStyle name="FRxCurrStyle" xfId="5274" xr:uid="{6E151E70-7566-4A56-873A-C080D3C1987D}"/>
    <cellStyle name="FRxPcntStyle" xfId="5275" xr:uid="{960C1A78-2FB3-4806-A743-7E5F416B1FEB}"/>
    <cellStyle name="gar" xfId="826" xr:uid="{83B3BFC0-25CE-4EAA-9F61-19AE7145455B}"/>
    <cellStyle name="gar 2" xfId="1701" xr:uid="{741252D2-D550-486D-95A4-0D604FE0F986}"/>
    <cellStyle name="Good 2" xfId="101" xr:uid="{3C7B1FAF-0A47-4993-8B92-F74A07F78C02}"/>
    <cellStyle name="Good 2 2" xfId="545" xr:uid="{37C84728-B5DD-4FA8-AA37-ECCC94E2B033}"/>
    <cellStyle name="Good 2 2 2" xfId="1315" xr:uid="{A1AD4992-DDC8-4BB1-BD26-1E1CC034FD71}"/>
    <cellStyle name="Good 2 3" xfId="4634" xr:uid="{435E90F3-C5C3-4571-9638-0F978366A8CB}"/>
    <cellStyle name="Good 2 3 2" xfId="6050" xr:uid="{CC708B72-AC1E-4E9D-A476-F2BF2F05A20D}"/>
    <cellStyle name="Good 2 4" xfId="3968" xr:uid="{91C4087E-C601-49E2-916F-8685D8680998}"/>
    <cellStyle name="Good 2 5" xfId="3232" xr:uid="{81395956-A9F1-4F11-ADE8-8533A6EACDA2}"/>
    <cellStyle name="Good 2 6" xfId="613" xr:uid="{84F3D3E6-3387-40AF-8FF6-0F1887448C82}"/>
    <cellStyle name="Good 2 7" xfId="7094" xr:uid="{9268203A-4966-4579-94C7-17D5AD7055A6}"/>
    <cellStyle name="Good 2 8" xfId="7103" xr:uid="{E25D5EB8-23AA-46B3-8DD7-7AB7A0759EB4}"/>
    <cellStyle name="Good 3" xfId="477" xr:uid="{7883262E-20AF-49A9-9F7B-0281D7380042}"/>
    <cellStyle name="Good 3 2" xfId="1316" xr:uid="{175AF157-3553-4F5C-A468-BD0622E96785}"/>
    <cellStyle name="Grey" xfId="102" xr:uid="{485A0A06-1E18-4B70-941D-39B7483E4560}"/>
    <cellStyle name="Grey 2" xfId="197" xr:uid="{F46A941C-04C4-4210-BBF2-2DFEAD9BB1E0}"/>
    <cellStyle name="Grey 3" xfId="3231" xr:uid="{9B121C0A-980C-4224-A6E4-E5BE844A59D5}"/>
    <cellStyle name="Grey_Bank Recconcile 14 Oct 2016" xfId="3230" xr:uid="{55590E68-1704-4172-B1AC-2F812874D084}"/>
    <cellStyle name="Header" xfId="103" xr:uid="{C4C88FFB-F6AC-4CC2-9AE4-3F6855E4F2A1}"/>
    <cellStyle name="Header 2" xfId="333" xr:uid="{1EF8C240-8D35-4DBE-A3F0-F9D3CE9B70FC}"/>
    <cellStyle name="Header 3" xfId="220" xr:uid="{B7EADD6C-C7AA-4131-8770-85F10C2AAE7C}"/>
    <cellStyle name="Header Draft Stamp" xfId="104" xr:uid="{5B04DEA1-08A7-4806-9EE2-7F278CB80730}"/>
    <cellStyle name="Header Draft Stamp 2" xfId="334" xr:uid="{46933E55-F561-42B3-BAE6-8124E35F633E}"/>
    <cellStyle name="Header Draft Stamp 3" xfId="221" xr:uid="{722CF664-BA73-4B59-B29C-0EF2598DD6AD}"/>
    <cellStyle name="Header_BECL WP YE'02" xfId="335" xr:uid="{747CC405-E29A-4A2C-A54C-9DECB2E68255}"/>
    <cellStyle name="Header1" xfId="635" xr:uid="{54760CBB-EA6F-445B-BBFC-1AD1C832D1EE}"/>
    <cellStyle name="Header2" xfId="626" xr:uid="{FE2C4EB4-79F7-45DB-88D7-8E0FE9084123}"/>
    <cellStyle name="Heading" xfId="669" xr:uid="{76318BF3-4F37-4041-BB0A-CA2285D4CA7F}"/>
    <cellStyle name="Heading 1 2" xfId="105" xr:uid="{EBAE9686-5992-4B31-BFEE-40F6D57F59A1}"/>
    <cellStyle name="Heading 1 2 2" xfId="472" xr:uid="{AD2885E4-34D7-4D3F-AA5D-36642F53C0CD}"/>
    <cellStyle name="Heading 1 2 2 2" xfId="1319" xr:uid="{6AFC5641-A1CD-44F1-A13A-08423E80A45B}"/>
    <cellStyle name="Heading 1 2 3" xfId="4633" xr:uid="{35410CBF-3BD1-4A1F-AB20-4981AC5E6937}"/>
    <cellStyle name="Heading 1 2 3 2" xfId="6051" xr:uid="{40E6314A-408A-4590-AE7D-EBF28305CFDE}"/>
    <cellStyle name="Heading 1 2 4" xfId="3969" xr:uid="{7DAECBCD-526A-4AD8-93A8-974CBE951AC5}"/>
    <cellStyle name="Heading 1 2 5" xfId="3229" xr:uid="{9494491B-A8EA-4A2E-A724-698C97AF2673}"/>
    <cellStyle name="Heading 1 2 6" xfId="634" xr:uid="{992E17F3-1A3B-468F-9C5F-B5269A503202}"/>
    <cellStyle name="Heading 1 3" xfId="546" xr:uid="{19DFA9AA-AAC7-4205-8EDB-33AD6B9E6943}"/>
    <cellStyle name="Heading 1 3 2" xfId="1320" xr:uid="{AEF65A8F-FEAD-4C69-9CBF-FD1732C7D27F}"/>
    <cellStyle name="Heading 1 4" xfId="222" xr:uid="{A3E5C805-0281-4719-8385-11EB442F96F5}"/>
    <cellStyle name="Heading 1 5" xfId="7293" xr:uid="{7BC1BF77-76AD-484D-9AF9-D9A73A040B46}"/>
    <cellStyle name="Heading 1 Above" xfId="106" xr:uid="{016A9D14-4914-4FFB-8F85-459B22C11730}"/>
    <cellStyle name="Heading 1 Above 2" xfId="336" xr:uid="{95B5CE94-5B78-4547-B45F-B0961126D57E}"/>
    <cellStyle name="Heading 1 Above 3" xfId="223" xr:uid="{92E32FB6-25CF-42E5-86DF-101745AF73D9}"/>
    <cellStyle name="Heading 1+" xfId="107" xr:uid="{89BA3009-CBEF-4A21-A290-8AD932963447}"/>
    <cellStyle name="Heading 1+ 2" xfId="337" xr:uid="{A36CEEAE-90D8-4B38-974F-CA2F0AAA6F1B}"/>
    <cellStyle name="Heading 1+ 3" xfId="224" xr:uid="{F7A7324D-7F67-4B98-9704-6535F318F4A2}"/>
    <cellStyle name="Heading 2 2" xfId="108" xr:uid="{22AE1E5A-F246-46C6-BC0F-44D26B2C5D99}"/>
    <cellStyle name="Heading 2 2 2" xfId="473" xr:uid="{3366B9A6-61CC-4AB9-9795-C1C9BF541A58}"/>
    <cellStyle name="Heading 2 2 2 2" xfId="1321" xr:uid="{D5371D39-2FF8-4046-961F-412F74F91067}"/>
    <cellStyle name="Heading 2 2 3" xfId="4632" xr:uid="{C36807DA-4503-414D-9D5A-5A6D4DC2A286}"/>
    <cellStyle name="Heading 2 2 3 2" xfId="6052" xr:uid="{60F01EDA-49BB-4E3A-9114-77C27BC36332}"/>
    <cellStyle name="Heading 2 2 4" xfId="3970" xr:uid="{C3AA4DF4-8C6E-499B-B2A5-6176EBB71246}"/>
    <cellStyle name="Heading 2 2 5" xfId="3228" xr:uid="{B81A501A-DB60-4A4C-813B-5CB963550244}"/>
    <cellStyle name="Heading 2 2 6" xfId="700" xr:uid="{9EA91316-F0A0-485F-936E-B0ECF3984684}"/>
    <cellStyle name="Heading 2 3" xfId="547" xr:uid="{3A8B9F94-F36B-44C1-864E-6E98CDC9B915}"/>
    <cellStyle name="Heading 2 3 2" xfId="4631" xr:uid="{5C7508F3-B912-450F-A36A-095BCD5F9BE5}"/>
    <cellStyle name="Heading 2 3 3" xfId="4119" xr:uid="{7B5B5AA6-ABE9-42B7-8442-8E63B06A5809}"/>
    <cellStyle name="Heading 2 3 4" xfId="3227" xr:uid="{F06D4645-EAF9-47BB-A748-A6D42856AB37}"/>
    <cellStyle name="Heading 2 3 5" xfId="1322" xr:uid="{9CE72673-E369-49D6-B2C9-5DC0BF787E21}"/>
    <cellStyle name="Heading 2 4" xfId="225" xr:uid="{2B82EFEB-7ADC-4053-953E-032ECED7489E}"/>
    <cellStyle name="Heading 2 5" xfId="7055" xr:uid="{08883A04-B09F-4165-8CD8-54811F014459}"/>
    <cellStyle name="Heading 2 Below" xfId="109" xr:uid="{42B44088-B364-43D8-94A9-71AD138450C5}"/>
    <cellStyle name="Heading 2 Below 2" xfId="7330" xr:uid="{9B9B412E-667F-40ED-A25C-C8F57B05B638}"/>
    <cellStyle name="Heading 2+" xfId="110" xr:uid="{051D7949-39C9-41DF-912B-DF8FBE91CE3F}"/>
    <cellStyle name="Heading 2+ 2" xfId="338" xr:uid="{DCA49995-E814-42C0-A34E-6A3B9D2519D4}"/>
    <cellStyle name="Heading 2+ 3" xfId="227" xr:uid="{FC9BF464-6EF5-4C33-857C-0DB80EFE8C87}"/>
    <cellStyle name="Heading 3 2" xfId="111" xr:uid="{556DE2B9-BF3A-4944-8593-2B1BDC1E42F5}"/>
    <cellStyle name="Heading 3 2 2" xfId="474" xr:uid="{364EDE4B-63AB-4087-980C-D5A966E3C5B1}"/>
    <cellStyle name="Heading 3 2 2 2" xfId="1323" xr:uid="{C88C32FF-93E9-4506-A41E-A78D7438E7BF}"/>
    <cellStyle name="Heading 3 2 3" xfId="4737" xr:uid="{107811A5-EA5E-4F09-9530-BD69587EFDDE}"/>
    <cellStyle name="Heading 3 2 3 2" xfId="6053" xr:uid="{942A08CA-0F99-46D0-AB06-F88D0F8C22DD}"/>
    <cellStyle name="Heading 3 2 4" xfId="3971" xr:uid="{DC557DB2-B08D-4532-A47F-14491C9A3E47}"/>
    <cellStyle name="Heading 3 2 5" xfId="3442" xr:uid="{E1E95DDD-6B98-4765-B515-4DA7830FE286}"/>
    <cellStyle name="Heading 3 2 6" xfId="619" xr:uid="{CA57C6D4-B87A-4EA6-9C06-F2BDED20AB53}"/>
    <cellStyle name="Heading 3 3" xfId="548" xr:uid="{916DEA55-2A3A-4BC3-B5A6-9218332AC18F}"/>
    <cellStyle name="Heading 3 3 2" xfId="4630" xr:uid="{0B66FE24-4816-42ED-A076-8DAD19FB05F6}"/>
    <cellStyle name="Heading 3 3 3" xfId="4120" xr:uid="{6CB59EF6-6CAA-427F-B992-6B778C8E093C}"/>
    <cellStyle name="Heading 3 3 4" xfId="3226" xr:uid="{E52DC4D3-F83C-429C-A482-A6599F04170C}"/>
    <cellStyle name="Heading 3 3 5" xfId="1324" xr:uid="{C12BE585-FF91-4D68-AAF8-7CC36FBB4053}"/>
    <cellStyle name="Heading 3 4" xfId="228" xr:uid="{6B466937-2D1F-4CD2-92E6-071FB20B9576}"/>
    <cellStyle name="Heading 3 5" xfId="7302" xr:uid="{EE0F8002-D7DA-4472-AA00-8FFFB642EFF4}"/>
    <cellStyle name="Heading 3+" xfId="112" xr:uid="{CE58781B-A91B-4FDF-86EE-76F1C205D04F}"/>
    <cellStyle name="Heading 3+ 2" xfId="339" xr:uid="{41D901A0-7C35-4A52-BDEA-6C33ECC19E30}"/>
    <cellStyle name="Heading 3+ 3" xfId="229" xr:uid="{6DE38564-C6E3-4617-9959-B3DC96E510B3}"/>
    <cellStyle name="Heading 4 2" xfId="113" xr:uid="{09EBADA6-0C6A-40A0-99CD-620ED1A1A1E2}"/>
    <cellStyle name="Heading 4 2 2" xfId="549" xr:uid="{FF09381B-0634-40B4-9619-9FE4140E3E09}"/>
    <cellStyle name="Heading 4 2 2 2" xfId="1325" xr:uid="{444F4C2D-00D1-4CF8-B4AB-7E50561C7DAA}"/>
    <cellStyle name="Heading 4 2 3" xfId="4629" xr:uid="{8E3A8BFD-3B37-4210-AD8E-D6C3EE39989A}"/>
    <cellStyle name="Heading 4 2 3 2" xfId="6054" xr:uid="{77647ADB-2A86-4C7E-B732-369493902D51}"/>
    <cellStyle name="Heading 4 2 4" xfId="3972" xr:uid="{EB731C63-2537-4497-9216-B401F534E223}"/>
    <cellStyle name="Heading 4 2 5" xfId="3225" xr:uid="{65831C9D-F96F-4853-AAE8-0AA1C3D47981}"/>
    <cellStyle name="Heading 4 2 6" xfId="314" xr:uid="{37DF7E3E-EC0A-463D-B290-0D3086B9C515}"/>
    <cellStyle name="Heading 4 2 7" xfId="7194" xr:uid="{5DC210BF-E3F8-48F0-9604-8B066FDB39DC}"/>
    <cellStyle name="Heading 4 3" xfId="476" xr:uid="{B65627F5-93B6-477B-918A-5F201AC2C879}"/>
    <cellStyle name="Heading 4 3 2" xfId="1326" xr:uid="{40A09F81-5543-4B39-993E-C8A7E54426FF}"/>
    <cellStyle name="Heading 4 3 3" xfId="7211" xr:uid="{8F60668C-49CB-4661-975D-AB6E3110A62B}"/>
    <cellStyle name="Heading 5" xfId="957" xr:uid="{5F491670-C800-45B4-8C65-44D2D1388B43}"/>
    <cellStyle name="Heading 6" xfId="340" xr:uid="{5DC7DBB0-4EF3-40CC-9013-633D3E9D902F}"/>
    <cellStyle name="Hipervínculo visitado_Investment Income Details" xfId="1571" xr:uid="{E8BA0FBC-27FD-44F0-A302-5BC9C91D80ED}"/>
    <cellStyle name="Hipervínculo_Investment Income Details" xfId="1572" xr:uid="{A992EB27-5CE5-4B68-973B-885DCC28C417}"/>
    <cellStyle name="Hyperlink 2" xfId="114" xr:uid="{EE53659F-06A4-4E80-89BB-3A7E3822D51F}"/>
    <cellStyle name="Hyperlink 2 2" xfId="558" xr:uid="{318AE849-424E-46D1-9238-85C280D14FB4}"/>
    <cellStyle name="Hyperlink 2 2 2" xfId="4985" xr:uid="{19F3A856-EB64-4497-ACC0-257352973871}"/>
    <cellStyle name="Hyperlink 2 3" xfId="7257" xr:uid="{F36A48F5-8E50-4456-A98C-510375ED48DF}"/>
    <cellStyle name="Hyperlink 3" xfId="4969" xr:uid="{222622C0-1604-405E-AC29-C3EF453F5EB1}"/>
    <cellStyle name="Hyperlink 3 2" xfId="7315" xr:uid="{B195769F-BE6B-4CA7-8C8E-77E0DFFFD320}"/>
    <cellStyle name="Hyperlink 3 2 2" xfId="7227" xr:uid="{28AD79BC-1C90-4DB5-8885-9D6B952A2211}"/>
    <cellStyle name="Hyperlink 3 3" xfId="7278" xr:uid="{F14429F7-9447-491B-B64E-0454043F0DC8}"/>
    <cellStyle name="Hyperlink 4" xfId="7219" xr:uid="{BAAF1C44-9F90-4453-BBD4-2F8A26022B00}"/>
    <cellStyle name="Hyperlink 4 2" xfId="7284" xr:uid="{D9C19BBD-EE14-4846-9464-C863F853D75D}"/>
    <cellStyle name="Hyperlink 5" xfId="7272" xr:uid="{DBEA6024-194C-450C-80FD-9B3B4C76C68F}"/>
    <cellStyle name="Indent" xfId="891" xr:uid="{4FC8AC36-1F6F-43EB-99E8-1753F0156FD5}"/>
    <cellStyle name="Info_Main" xfId="1966" xr:uid="{B7FFA77C-1F82-4E2A-917D-1081BF24F52E}"/>
    <cellStyle name="Input [yellow]" xfId="115" xr:uid="{43FF34E4-5C70-4CBA-BFEE-B05D01477D8C}"/>
    <cellStyle name="Input [yellow] 2" xfId="192" xr:uid="{FF235E8B-91FD-40B1-BA29-5E2770494665}"/>
    <cellStyle name="Input [yellow] 2 2" xfId="706" xr:uid="{6B177127-20B5-4A6F-9B8B-C5BD88485A1B}"/>
    <cellStyle name="Input [yellow] 3" xfId="316" xr:uid="{C9781709-EEF4-472C-AB6B-E0F962F26A53}"/>
    <cellStyle name="Input [yellow] 3 2" xfId="3441" xr:uid="{AF1B704F-A760-44BD-AC9A-7C8EAE83A00D}"/>
    <cellStyle name="Input [yellow]_Bank Recconcile 14 Oct 2016" xfId="3224" xr:uid="{31D88C81-0A0B-4349-953E-0A6A61125ED2}"/>
    <cellStyle name="Input 10" xfId="607" xr:uid="{FDDAB4D0-1370-4231-AB1C-95A34795150D}"/>
    <cellStyle name="Input 10 2" xfId="3223" xr:uid="{48F50CC3-5FFE-45BB-BB8A-77B3F82F3654}"/>
    <cellStyle name="Input 11" xfId="3440" xr:uid="{49300858-6AE2-482B-9779-FF63F6FD7B73}"/>
    <cellStyle name="Input 12" xfId="3222" xr:uid="{E27226BF-B98C-40A1-8178-6890E3F96D03}"/>
    <cellStyle name="Input 13" xfId="3221" xr:uid="{25507B5A-9947-4B58-A2B0-32AB5B6C1C55}"/>
    <cellStyle name="Input 14" xfId="3633" xr:uid="{D091B3BF-E1E2-47E5-BE5B-3E5C97514453}"/>
    <cellStyle name="Input 15" xfId="3634" xr:uid="{B6A4A861-5866-4E0F-9202-E5B3F2838930}"/>
    <cellStyle name="Input 16" xfId="3635" xr:uid="{2F82BBD7-51E6-4B5F-A2D3-4DA405AFEDFE}"/>
    <cellStyle name="Input 17" xfId="3636" xr:uid="{B4B73208-5B20-420B-9DE8-0F76734017DF}"/>
    <cellStyle name="Input 18" xfId="7023" xr:uid="{DC434A7B-69DD-4486-B746-AF24D01498A4}"/>
    <cellStyle name="Input 19" xfId="7303" xr:uid="{760FA37E-03DE-4DC8-825D-77EC5078C2A9}"/>
    <cellStyle name="Input 2" xfId="116" xr:uid="{E6F6A1B8-9581-4FB1-BFB8-F2AAABF43F4A}"/>
    <cellStyle name="Input 2 2" xfId="550" xr:uid="{CCB66D29-9F13-4B13-B6A3-89842CF7C3C1}"/>
    <cellStyle name="Input 2 2 2" xfId="1327" xr:uid="{AC43F71B-B1BA-491B-8B7F-9394ECA396C9}"/>
    <cellStyle name="Input 2 2 3" xfId="7270" xr:uid="{A29A114B-0483-4319-BF55-6801E9A99A9C}"/>
    <cellStyle name="Input 2 3" xfId="4854" xr:uid="{1AD90C5F-ABB6-4A20-AFFB-A5B086CCC665}"/>
    <cellStyle name="Input 2 3 2" xfId="6055" xr:uid="{964EC864-CD50-4734-AB92-95BEA259C281}"/>
    <cellStyle name="Input 2 4" xfId="3973" xr:uid="{51CFDD2A-6478-4692-939B-FAB5286F3062}"/>
    <cellStyle name="Input 2 5" xfId="3637" xr:uid="{67A66B0A-FB70-4F80-B207-155A9CCE6F60}"/>
    <cellStyle name="Input 2 6" xfId="666" xr:uid="{2F7CBE44-E574-49BE-9EDF-F6A8513BE0C8}"/>
    <cellStyle name="Input 2 7" xfId="7233" xr:uid="{8043123B-0C03-42E5-80ED-989E40E35160}"/>
    <cellStyle name="Input 3" xfId="480" xr:uid="{34C20FF9-5621-4930-AE8F-9C4DAE3B819A}"/>
    <cellStyle name="Input 3 2" xfId="4855" xr:uid="{7AE9BD65-AD4B-4660-9E9F-ECF43E7ED28F}"/>
    <cellStyle name="Input 3 3" xfId="4121" xr:uid="{145A1BBE-352D-4730-9F55-0E5BAC47B7AC}"/>
    <cellStyle name="Input 3 4" xfId="3638" xr:uid="{F86E81B9-0F7B-44DD-A07F-60937EC7B08A}"/>
    <cellStyle name="Input 3 5" xfId="1328" xr:uid="{271D0024-AD78-43A5-A8DD-84BB6BB13CF0}"/>
    <cellStyle name="Input 4" xfId="589" xr:uid="{EA540896-726E-4C4F-9414-A3AD2A6706DE}"/>
    <cellStyle name="Input 4 2" xfId="3640" xr:uid="{3195EE0A-D515-4768-BA10-03430C9ADCC1}"/>
    <cellStyle name="Input 4 3" xfId="4856" xr:uid="{6FE36623-8EC3-45FC-B411-45DAAD5B0A14}"/>
    <cellStyle name="Input 4 4" xfId="4122" xr:uid="{D1E1C7E3-BAED-4278-82DE-83D29C70E59F}"/>
    <cellStyle name="Input 4 5" xfId="3639" xr:uid="{D3EDCBC7-C773-4AED-AFE2-6064B36C9549}"/>
    <cellStyle name="Input 4 6" xfId="1329" xr:uid="{ADE65402-78B2-482B-AA06-F9BFAFC835E1}"/>
    <cellStyle name="Input 5" xfId="464" xr:uid="{B05BCB27-2FF9-4C55-B68A-08190D16DC8B}"/>
    <cellStyle name="Input 5 2" xfId="1330" xr:uid="{86A41838-9826-40DF-8555-A9830CA829D6}"/>
    <cellStyle name="Input 6" xfId="590" xr:uid="{B311EE6B-F582-4A6F-9562-27530587FE4F}"/>
    <cellStyle name="Input 6 2" xfId="1331" xr:uid="{FF06787F-E8DC-4231-A858-42663165C7D9}"/>
    <cellStyle name="Input 7" xfId="457" xr:uid="{BDB88DC1-2024-4CD2-9D09-FF990AFCF5DE}"/>
    <cellStyle name="Input 7 2" xfId="3641" xr:uid="{0C3A7017-8341-41AA-83EE-4EDEDD211009}"/>
    <cellStyle name="Input 8" xfId="581" xr:uid="{06650B02-6ECF-4778-88B0-6F6C2D6CB5E3}"/>
    <cellStyle name="Input 8 2" xfId="3642" xr:uid="{020BA3F9-CB39-432C-9E0A-9082905ECD8B}"/>
    <cellStyle name="Input 9" xfId="598" xr:uid="{5347C0DE-F6FD-4940-9A9F-4D533218287D}"/>
    <cellStyle name="Input 9 2" xfId="3643" xr:uid="{7CDC336A-F8A4-40BC-95F3-598062F7E2C2}"/>
    <cellStyle name="InputCurrency" xfId="1965" xr:uid="{06D53AD9-BC60-411C-A58E-18D9FA49A22D}"/>
    <cellStyle name="InputPercent1" xfId="1964" xr:uid="{8E76285B-ED33-4F2B-8DFA-3D182AC34375}"/>
    <cellStyle name="KPMG Heading 1" xfId="856" xr:uid="{475BA488-7D88-4686-BAA6-512116132DC8}"/>
    <cellStyle name="KPMG Heading 2" xfId="845" xr:uid="{70A5A0F4-7043-4E88-B9DB-E605E4A37180}"/>
    <cellStyle name="KPMG Heading 3" xfId="691" xr:uid="{654ADD45-1CFC-4628-A85B-B6B238077103}"/>
    <cellStyle name="KPMG Heading 4" xfId="658" xr:uid="{7F4554FB-90BB-4055-8EE2-FD016F84FAD0}"/>
    <cellStyle name="KPMG Normal" xfId="876" xr:uid="{AD0D86F3-AA8B-4358-9F6D-7937574EF049}"/>
    <cellStyle name="KPMG Normal 2" xfId="1702" xr:uid="{6810F1FF-0A78-4F2B-AB26-F7E90377CBC4}"/>
    <cellStyle name="KPMG Normal Text" xfId="915" xr:uid="{8D84CBE3-82CE-46DB-8094-4D68915BC1AA}"/>
    <cellStyle name="KPMG Normal Text 2" xfId="1703" xr:uid="{5455E0E2-A0E8-40C1-A23E-B07ABD98EA66}"/>
    <cellStyle name="KPMG Normal_10" xfId="662" xr:uid="{1C4ABCE1-A2B2-4CB6-9068-58AA651A0CFD}"/>
    <cellStyle name="left" xfId="1963" xr:uid="{08D8D6FA-E573-4386-8861-51CF454D7DA4}"/>
    <cellStyle name="Link Currency (0)" xfId="646" xr:uid="{A7DED836-CEB9-4D6C-A730-EF03BD4B128A}"/>
    <cellStyle name="Link Currency (0) 2" xfId="723" xr:uid="{BE999A4C-AEB8-427D-85FD-67F3B49E5F1B}"/>
    <cellStyle name="Link Currency (0) 2 2" xfId="1068" xr:uid="{0B8C9BB6-BB07-44B5-98BF-FEF7042641DB}"/>
    <cellStyle name="Link Currency (0) 2 2 2" xfId="1334" xr:uid="{B47C2FA4-45D5-4905-B1A7-7DA834FFD1D5}"/>
    <cellStyle name="Link Currency (0) 2 3" xfId="1333" xr:uid="{EC52E3EE-22BC-4839-814F-A52129E42902}"/>
    <cellStyle name="Link Currency (0) 3" xfId="1335" xr:uid="{5F4420C7-45E8-4775-937C-61B7BDF89529}"/>
    <cellStyle name="Link Currency (0)_Bank Recconcile 14 Oct 2016" xfId="3644" xr:uid="{F649461D-CCA3-4FF8-A9B0-C75D43BD3A2B}"/>
    <cellStyle name="Link Currency (2)" xfId="914" xr:uid="{64A5DCB4-099F-4F41-A08F-1496DAE12F44}"/>
    <cellStyle name="Link Units (0)" xfId="768" xr:uid="{8710D552-6873-4BD8-9D83-BCC3A1C6DF0A}"/>
    <cellStyle name="Link Units (0) 2" xfId="933" xr:uid="{2A7C7DD2-E6A2-4E68-887E-5D41182BAAEE}"/>
    <cellStyle name="Link Units (0) 2 2" xfId="1069" xr:uid="{D2DCA423-3092-4DAA-94B5-68D514A4926C}"/>
    <cellStyle name="Link Units (0) 2 2 2" xfId="1338" xr:uid="{C8005580-32F4-4CE1-BE3C-56B7FBED2A52}"/>
    <cellStyle name="Link Units (0) 2 3" xfId="1337" xr:uid="{FF364A95-A528-482E-9553-2F237A2E2D9A}"/>
    <cellStyle name="Link Units (0) 3" xfId="1339" xr:uid="{0CBA40B8-7D1B-4660-97D9-C98BDEC5F5F0}"/>
    <cellStyle name="Link Units (0)_Bank Recconcile 14 Oct 2016" xfId="3645" xr:uid="{01EDC9C6-D687-459B-9A4B-4BC265BC380A}"/>
    <cellStyle name="Link Units (1)" xfId="675" xr:uid="{F7F48487-9286-415E-943D-A27279DCCA57}"/>
    <cellStyle name="Link Units (1) 2" xfId="686" xr:uid="{0519CAAA-1E8A-4DE7-82D6-6A98898B9AB3}"/>
    <cellStyle name="Link Units (1) 2 2" xfId="1070" xr:uid="{26E0D3BA-C056-4FA4-AA4B-885C4BCD88F8}"/>
    <cellStyle name="Link Units (1) 2 2 2" xfId="1341" xr:uid="{A546F89D-71CE-464F-905F-83366FB25EDF}"/>
    <cellStyle name="Link Units (1) 2 3" xfId="1340" xr:uid="{C7FC3AC8-33CF-4BDF-9EDC-971B1F7FE4A0}"/>
    <cellStyle name="Link Units (1) 3" xfId="1342" xr:uid="{BB7124B9-0C9D-4277-A572-F668C2F00F45}"/>
    <cellStyle name="Link Units (1)_Bank Recconcile 14 Oct 2016" xfId="3646" xr:uid="{7A277285-B274-4BAA-AE11-76177B959B53}"/>
    <cellStyle name="Link Units (2)" xfId="834" xr:uid="{8DA22237-0E36-4AC4-BF2F-BB7F650C08B9}"/>
    <cellStyle name="Linked Cell 2" xfId="117" xr:uid="{EBF27628-CE3B-4932-ACB1-CDA7AC17726A}"/>
    <cellStyle name="Linked Cell 2 2" xfId="551" xr:uid="{EC48754E-5CFB-4AAA-BE7D-E66B82B8FA7A}"/>
    <cellStyle name="Linked Cell 2 2 2" xfId="1344" xr:uid="{202EDFD6-4EDB-442A-A75C-675DF3F2279D}"/>
    <cellStyle name="Linked Cell 2 3" xfId="4857" xr:uid="{1E6473C6-350A-43C7-AF35-208722D60568}"/>
    <cellStyle name="Linked Cell 2 3 2" xfId="6056" xr:uid="{A3CEBD6C-678C-418E-A533-A04D8497C81F}"/>
    <cellStyle name="Linked Cell 2 4" xfId="3974" xr:uid="{E65BAE63-FA11-48D3-A053-FBE6AD2543CE}"/>
    <cellStyle name="Linked Cell 2 5" xfId="3647" xr:uid="{63629E31-38B3-4D47-9D5A-DE8A1F0DC13F}"/>
    <cellStyle name="Linked Cell 2 6" xfId="889" xr:uid="{E81F3E2A-1659-40B8-8036-3C07A4BCCF8E}"/>
    <cellStyle name="Linked Cell 3" xfId="483" xr:uid="{0BA89FDC-C517-427C-8BD3-D16BC5F33C3E}"/>
    <cellStyle name="Linked Cell 3 2" xfId="1345" xr:uid="{FF53B937-340B-48A9-AD09-342B3CF3E929}"/>
    <cellStyle name="Linked Cell 4" xfId="7182" xr:uid="{A484CF20-67F3-4CEA-93AA-B1D7C07F62C1}"/>
    <cellStyle name="Miglia - Stile1" xfId="1962" xr:uid="{B4F8756C-F806-4A67-8F24-BFC3485B26A4}"/>
    <cellStyle name="Miglia - Stile2" xfId="1961" xr:uid="{CD35091F-732A-4862-A483-AD2B3F23E680}"/>
    <cellStyle name="Miglia - Stile3" xfId="1960" xr:uid="{C98FE78F-1AC1-4ABC-95F5-5A7273CF28ED}"/>
    <cellStyle name="Miglia - Stile4" xfId="1959" xr:uid="{0410F451-9CF9-4981-9387-80A7F793ED19}"/>
    <cellStyle name="Miglia - Stile5" xfId="1958" xr:uid="{11369E12-8B61-4FDF-8D77-7B2FB1A28162}"/>
    <cellStyle name="Millares [0]_3 - PLANcuen" xfId="751" xr:uid="{9855BC61-C42E-4612-B5CB-1BDFF4B8B238}"/>
    <cellStyle name="Millares_3 - PLANcuen" xfId="660" xr:uid="{B7895B79-B01A-4E03-ABC7-217779099B49}"/>
    <cellStyle name="Milliers [0]_AR1194" xfId="648" xr:uid="{4E2B6E8D-E7A6-4EEF-AD02-07C2C920913E}"/>
    <cellStyle name="Milliers_AR1194" xfId="701" xr:uid="{F252058B-17FD-4082-8CD1-0FA6FEC1587B}"/>
    <cellStyle name="million" xfId="341" xr:uid="{203D9254-FF2E-4541-A2DA-FB8A4D27FC60}"/>
    <cellStyle name="Mon?taire [0]_AR1194" xfId="687" xr:uid="{3B894537-DA32-4B72-875A-2F118E5D306D}"/>
    <cellStyle name="Mon?taire_AR1194" xfId="772" xr:uid="{2E821A37-7A58-47B8-8AE2-A9431E270DF0}"/>
    <cellStyle name="Moneda [0]_3 - PLANcuen" xfId="871" xr:uid="{E9B266C9-B7B0-4A43-B596-4979A0EF104F}"/>
    <cellStyle name="Moneda_3 - PLANcuen" xfId="633" xr:uid="{947CF185-D84C-48BE-A1F0-AEDCD30C3712}"/>
    <cellStyle name="Monétaire [0]_Capex2001" xfId="858" xr:uid="{308A04F5-52D4-41E6-A34B-A02724F578F2}"/>
    <cellStyle name="Monétaire_Capex2001" xfId="854" xr:uid="{852B416D-AC6D-4B81-8F69-940784DE53C9}"/>
    <cellStyle name="n0" xfId="342" xr:uid="{B455CE16-B449-4E43-9DD0-F079CBCDC52B}"/>
    <cellStyle name="Neutral 2" xfId="118" xr:uid="{9A0F22C9-ADA1-4C78-93B2-097A0A97ED16}"/>
    <cellStyle name="Neutral 2 2" xfId="552" xr:uid="{582FAF35-B1E6-4334-8BE9-99D0792BBAFD}"/>
    <cellStyle name="Neutral 2 2 2" xfId="1346" xr:uid="{5098276E-356D-4478-A88C-F6DF6BDBEAD5}"/>
    <cellStyle name="Neutral 2 3" xfId="4858" xr:uid="{078D3069-FB4B-4E56-B869-DCE7D7091C1D}"/>
    <cellStyle name="Neutral 2 3 2" xfId="6057" xr:uid="{5051FF5E-A25F-4A09-AAD1-79DC2096F256}"/>
    <cellStyle name="Neutral 2 4" xfId="3975" xr:uid="{E59E5043-2EC7-4B0A-A7A3-17E6D67D3D50}"/>
    <cellStyle name="Neutral 2 5" xfId="3648" xr:uid="{3962C647-C106-4D4B-9BF0-9D7E5138B48F}"/>
    <cellStyle name="Neutral 2 6" xfId="780" xr:uid="{BB53ABF7-F381-48E6-B93E-71D50D3CDEDF}"/>
    <cellStyle name="Neutral 2 7" xfId="7176" xr:uid="{173FCBB8-1128-4F0B-B84F-330543C5247C}"/>
    <cellStyle name="Neutral 2 8" xfId="7305" xr:uid="{0F84CDA8-9ED1-4136-A687-72A49B1DEF18}"/>
    <cellStyle name="Neutral 3" xfId="479" xr:uid="{740113E3-5500-475D-8E7B-7C212202F8D6}"/>
    <cellStyle name="Neutral 3 2" xfId="4859" xr:uid="{130E1F2A-1B58-4F2B-B1B6-4A1538A6C7EF}"/>
    <cellStyle name="Neutral 3 3" xfId="4123" xr:uid="{45D1CF11-A0EE-490E-BDB0-DC21E2874E47}"/>
    <cellStyle name="Neutral 3 4" xfId="3649" xr:uid="{BCE803F2-9D02-4A79-8639-D4BA9A4D16C2}"/>
    <cellStyle name="Neutral 3 5" xfId="1347" xr:uid="{35076013-325A-40BA-8C58-55874C441462}"/>
    <cellStyle name="Neutral 4" xfId="3650" xr:uid="{7CC27251-3D55-43BB-9BD9-4123C51F6E39}"/>
    <cellStyle name="no dec" xfId="119" xr:uid="{FA9807E8-E1D3-4425-9646-2FABE8433548}"/>
    <cellStyle name="Nor}al" xfId="2136" xr:uid="{B418877F-C45C-4F30-BE28-2BEA1C94F414}"/>
    <cellStyle name="Normal" xfId="0" builtinId="0"/>
    <cellStyle name="Normal - Stile6" xfId="1957" xr:uid="{21009743-84B5-44C0-82D3-E3B125754B24}"/>
    <cellStyle name="Normal - Stile7" xfId="1956" xr:uid="{F6A62D79-36AC-4422-A0F8-CA11D5F5DF92}"/>
    <cellStyle name="Normal - Stile8" xfId="1955" xr:uid="{A32FC079-C70B-4351-9B27-27CF54FB9D7F}"/>
    <cellStyle name="Normal - Style1" xfId="120" xr:uid="{FC577ABD-2DA2-49EB-B243-1D5F8643C11C}"/>
    <cellStyle name="Normal - Style1 2" xfId="195" xr:uid="{2A3EF392-0ED1-4C5C-A671-EF0C907907E8}"/>
    <cellStyle name="Normal - Style2 2" xfId="5417" xr:uid="{7FC03235-CA0F-452E-A850-4453293AEF48}"/>
    <cellStyle name="Normal - Style5" xfId="647" xr:uid="{17216E3D-169F-4C63-A3A9-336BF1E20898}"/>
    <cellStyle name="Normal 10" xfId="121" xr:uid="{40940088-CEC3-43D9-AD24-5220396E5429}"/>
    <cellStyle name="Normal 10 2" xfId="345" xr:uid="{470E4742-BADC-402B-9207-F15D9F4DDEE9}"/>
    <cellStyle name="Normal 10 2 2" xfId="1614" xr:uid="{3936CD10-DD67-47A8-8A75-CB92A77B7F82}"/>
    <cellStyle name="Normal 10 2 2 2" xfId="2765" xr:uid="{94BE95A8-916E-47D4-86B6-88166EFB8F2C}"/>
    <cellStyle name="Normal 10 2 2 2 2" xfId="4756" xr:uid="{1E867166-CF96-4DB7-BF55-5D59DF364657}"/>
    <cellStyle name="Normal 10 2 2 3" xfId="2101" xr:uid="{956A5A36-91FC-452E-A9CC-687BC957359D}"/>
    <cellStyle name="Normal 10 2 2 3 2" xfId="4212" xr:uid="{1CC6C339-E75B-47CE-A742-FDC453538EEB}"/>
    <cellStyle name="Normal 10 2 2 4" xfId="3513" xr:uid="{90BC881B-8ED4-4A42-9767-E7D18DD73B19}"/>
    <cellStyle name="Normal 10 2 2 5" xfId="4989" xr:uid="{9A15C910-2312-4CD0-B8EE-B2889F0DB5F4}"/>
    <cellStyle name="Normal 10 2 2 6" xfId="7079" xr:uid="{4CF6695B-5FC0-4512-9705-55FB15689091}"/>
    <cellStyle name="Normal 10 2 3" xfId="1630" xr:uid="{BA591B23-FCCE-42EE-8A53-C32D2517CB0A}"/>
    <cellStyle name="Normal 10 2 3 2" xfId="2777" xr:uid="{F4DDBCDA-BD6D-4045-9081-6AB71676EA03}"/>
    <cellStyle name="Normal 10 2 3 2 2" xfId="5958" xr:uid="{22B4F2A2-4E69-4C7E-B5F3-8B145BCB150F}"/>
    <cellStyle name="Normal 10 2 3 3" xfId="5556" xr:uid="{E7C85D8D-EEA6-4AAC-95DB-76AFB2F428D7}"/>
    <cellStyle name="Normal 10 2 3 3 2" xfId="5875" xr:uid="{C2A0B900-40E0-4CFE-8D37-00C7EDF7BB1D}"/>
    <cellStyle name="Normal 10 2 4" xfId="4455" xr:uid="{9D5E4F66-F685-4BEB-92BF-DF92E6594326}"/>
    <cellStyle name="Normal 10 2 4 2" xfId="868" xr:uid="{358FACEA-30DF-454F-BDA2-118CC0B100AC}"/>
    <cellStyle name="Normal 10 2 4 2 2" xfId="5450" xr:uid="{91EEF1BD-BE97-4067-A934-F269F990F0D7}"/>
    <cellStyle name="Normal 10 2 4 2 2 2" xfId="5730" xr:uid="{2738445D-6C6A-4033-ACF9-F424647E0432}"/>
    <cellStyle name="Normal 10 2 4 2 2 2 2" xfId="6698" xr:uid="{5701AAA7-68F3-4817-9658-4732EDBC4578}"/>
    <cellStyle name="Normal 10 2 4 2 2 3" xfId="6176" xr:uid="{7B95035E-3C9C-4A29-9D53-5CAAD85AA871}"/>
    <cellStyle name="Normal 10 2 4 2 3" xfId="5455" xr:uid="{B32FC2B3-5249-492B-A6FB-9839B5F42681}"/>
    <cellStyle name="Normal 10 2 4 2 3 2" xfId="5736" xr:uid="{FDA11B46-1A95-45A3-A23A-2E8442257935}"/>
    <cellStyle name="Normal 10 2 4 2 3 2 2" xfId="6704" xr:uid="{018B84C9-BAAE-4295-A7A5-7231F2C344FE}"/>
    <cellStyle name="Normal 10 2 4 2 3 3" xfId="6182" xr:uid="{4B2FFB8C-8E9A-4AF2-A012-EFF1060692C6}"/>
    <cellStyle name="Normal 10 2 4 2 4" xfId="5620" xr:uid="{A18A2FAD-B101-4813-8941-78DDE6C862B1}"/>
    <cellStyle name="Normal 10 2 4 2 4 2" xfId="6556" xr:uid="{4A9B733F-5694-4965-BE62-227D237F116A}"/>
    <cellStyle name="Normal 10 2 4 2 5" xfId="6070" xr:uid="{4F0EF694-755E-45EC-B347-DDEEBDF712AA}"/>
    <cellStyle name="Normal 10 2 4 3" xfId="5448" xr:uid="{DBF902F6-647B-46E6-BFD3-B42485748025}"/>
    <cellStyle name="Normal 10 2 4 3 2" xfId="5728" xr:uid="{B901113C-CACD-45B7-ACDF-4C21CA69B27F}"/>
    <cellStyle name="Normal 10 2 4 3 2 2" xfId="6694" xr:uid="{AA4ED127-F294-46FF-AB6A-18DD36C07F6E}"/>
    <cellStyle name="Normal 10 2 4 3 3" xfId="6172" xr:uid="{651A5830-8134-4E62-B5A6-848718F31490}"/>
    <cellStyle name="Normal 10 2 4 4" xfId="5454" xr:uid="{6605B171-4062-4778-8F0C-B0E9638CACE2}"/>
    <cellStyle name="Normal 10 2 4 4 2" xfId="5733" xr:uid="{CBE6EA5E-EA38-46C2-8665-445B3666A7A9}"/>
    <cellStyle name="Normal 10 2 4 4 2 2" xfId="6700" xr:uid="{B12C6DAC-DFDD-4DB4-9878-E72404A5C07F}"/>
    <cellStyle name="Normal 10 2 4 4 3" xfId="6178" xr:uid="{E8D62332-2CC7-42F3-ADE4-B1A84533DEEB}"/>
    <cellStyle name="Normal 10 2 4 5" xfId="5616" xr:uid="{3425B51A-508B-4D95-9F36-EB1D64B5CC91}"/>
    <cellStyle name="Normal 10 2 4 5 2" xfId="6552" xr:uid="{69FC8C79-D50C-40DF-AA81-EBF3A05A7503}"/>
    <cellStyle name="Normal 10 2 4 6" xfId="6067" xr:uid="{763C5C93-E793-45E1-8583-C21BC52D537F}"/>
    <cellStyle name="Normal 10 2 4 7" xfId="682" xr:uid="{434AD4EF-6323-4EF7-A5FF-29215348A8AB}"/>
    <cellStyle name="Normal 10 2 5" xfId="3986" xr:uid="{D728FF5C-00D8-460C-B946-B218C20A7641}"/>
    <cellStyle name="Normal 10 2 5 2" xfId="5611" xr:uid="{42C54638-FAF8-4729-8187-D397B5CDCF42}"/>
    <cellStyle name="Normal 10 2 6" xfId="857" xr:uid="{9AAA838B-28D0-4271-8220-1C07D8ED9DBE}"/>
    <cellStyle name="Normal 10 2 7" xfId="1010" xr:uid="{EB1C3990-BF09-4F81-8A21-FE6F2514D138}"/>
    <cellStyle name="Normal 10 3" xfId="465" xr:uid="{E540E3DC-DE41-49B6-AD2D-93F80754D134}"/>
    <cellStyle name="Normal 10 3 10" xfId="1612" xr:uid="{FE0F242E-6D9C-401D-8B0C-746200F82067}"/>
    <cellStyle name="Normal 10 3 2" xfId="1644" xr:uid="{07B77941-2CDD-474B-A61D-AA32A2B8D428}"/>
    <cellStyle name="Normal 10 3 2 2" xfId="1678" xr:uid="{DB7AD823-D1D1-4029-B97A-ABC2D142B284}"/>
    <cellStyle name="Normal 10 3 2 2 2" xfId="2815" xr:uid="{93DFF247-A625-4408-81BE-58EF6E24BDFC}"/>
    <cellStyle name="Normal 10 3 2 2 2 2" xfId="5791" xr:uid="{1D521015-48DA-4394-AB7E-0996B0665A8B}"/>
    <cellStyle name="Normal 10 3 2 2 2 2 2" xfId="6785" xr:uid="{088436BD-6E94-4432-AC90-0A5949B3DE62}"/>
    <cellStyle name="Normal 10 3 2 2 2 3" xfId="6246" xr:uid="{F294090D-24E7-43D2-8F92-9E79E9B95F3E}"/>
    <cellStyle name="Normal 10 3 2 2 3" xfId="4262" xr:uid="{1840EA2F-B3B8-4915-BCE6-7AC3E5580DCB}"/>
    <cellStyle name="Normal 10 3 2 2 3 2" xfId="6623" xr:uid="{3279295A-AAAB-4CF2-97E7-1F17BCB12585}"/>
    <cellStyle name="Normal 10 3 2 2 4" xfId="5085" xr:uid="{634C9B45-16EB-4C77-B19C-8ABA57632713}"/>
    <cellStyle name="Normal 10 3 2 2 4 2" xfId="6418" xr:uid="{466AE95A-0C6F-4883-A689-ADCA8ED51416}"/>
    <cellStyle name="Normal 10 3 2 2 5" xfId="6120" xr:uid="{CF5B7104-A98B-47E4-9DC0-C1FB5030B453}"/>
    <cellStyle name="Normal 10 3 2 3" xfId="2788" xr:uid="{55868CE7-7214-4729-9613-E67D5BC5FAF8}"/>
    <cellStyle name="Normal 10 3 2 3 2" xfId="5765" xr:uid="{A578E082-B292-4DFE-A881-074CA0ADF391}"/>
    <cellStyle name="Normal 10 3 2 3 2 2" xfId="6759" xr:uid="{9A0A941F-2FC4-4CEC-B8CC-58418E7537E9}"/>
    <cellStyle name="Normal 10 3 2 3 3" xfId="6220" xr:uid="{FF2E62D2-C337-4715-843B-07D6CAC052B3}"/>
    <cellStyle name="Normal 10 3 2 4" xfId="4234" xr:uid="{95ACE876-8EC2-432C-B103-8BA70385AC1B}"/>
    <cellStyle name="Normal 10 3 2 4 2" xfId="6599" xr:uid="{31CB2A99-4091-4F1B-806D-348EE01E0EA0}"/>
    <cellStyle name="Normal 10 3 2 5" xfId="5059" xr:uid="{924AB455-4A26-46C4-AE57-B0CF789E3CB6}"/>
    <cellStyle name="Normal 10 3 2 5 2" xfId="6392" xr:uid="{92471F1D-2881-41FC-BED3-994200752C85}"/>
    <cellStyle name="Normal 10 3 2 6" xfId="6102" xr:uid="{FC58B2A8-45D7-4647-8112-34FB2A8DFF76}"/>
    <cellStyle name="Normal 10 3 3" xfId="1662" xr:uid="{FAD0E630-6149-405A-82AA-744FF66D8DAE}"/>
    <cellStyle name="Normal 10 3 3 2" xfId="1688" xr:uid="{2F0FD1E9-D8A3-4CAF-BF08-E06BBC423A94}"/>
    <cellStyle name="Normal 10 3 3 2 2" xfId="2825" xr:uid="{9B33A60B-02BF-4B14-87FF-E99FDB976657}"/>
    <cellStyle name="Normal 10 3 3 2 2 2" xfId="5801" xr:uid="{45C687EE-078F-4201-9347-C946D2F00B31}"/>
    <cellStyle name="Normal 10 3 3 2 2 2 2" xfId="6795" xr:uid="{6C6F5619-AC6F-4CA9-BDF3-D03B492AF7CB}"/>
    <cellStyle name="Normal 10 3 3 2 2 3" xfId="6256" xr:uid="{28A2B39A-09EB-4E58-9746-79654E4788ED}"/>
    <cellStyle name="Normal 10 3 3 2 3" xfId="4272" xr:uid="{AA9B230C-BA04-4B36-96D1-F334597FB1F4}"/>
    <cellStyle name="Normal 10 3 3 2 3 2" xfId="6633" xr:uid="{4D1BF506-4EA7-466E-9774-69C14BC11340}"/>
    <cellStyle name="Normal 10 3 3 2 4" xfId="5095" xr:uid="{685C7337-0012-46CE-89A7-5899C4AD0EBF}"/>
    <cellStyle name="Normal 10 3 3 2 4 2" xfId="6428" xr:uid="{BBCE4FCD-1CF0-470C-980E-C9A888A3550D}"/>
    <cellStyle name="Normal 10 3 3 2 5" xfId="6128" xr:uid="{8FC75608-5504-419C-8552-F05AB47FB791}"/>
    <cellStyle name="Normal 10 3 3 3" xfId="2799" xr:uid="{37A7F228-0772-4244-B97C-509A1D3F595E}"/>
    <cellStyle name="Normal 10 3 3 3 2" xfId="5775" xr:uid="{4A872EA9-0289-4134-99FC-61A5DAAD8B1E}"/>
    <cellStyle name="Normal 10 3 3 3 2 2" xfId="6769" xr:uid="{FF357D6C-C994-4A2F-B5B3-EB7A2022C2B6}"/>
    <cellStyle name="Normal 10 3 3 3 3" xfId="6230" xr:uid="{CE03D58F-C53E-4743-A736-69C35EE4A34D}"/>
    <cellStyle name="Normal 10 3 3 4" xfId="4246" xr:uid="{B57A37F6-23C1-40B0-B28E-38C3DEAC3338}"/>
    <cellStyle name="Normal 10 3 3 4 2" xfId="6608" xr:uid="{AE845A93-61AC-46D2-864B-6F83E44F7813}"/>
    <cellStyle name="Normal 10 3 3 5" xfId="5069" xr:uid="{9BB75DAE-50EF-4BD9-9722-FFB2C61DA2DF}"/>
    <cellStyle name="Normal 10 3 3 5 2" xfId="6402" xr:uid="{1659B581-137A-4DD9-AEF0-38A5AE1F9198}"/>
    <cellStyle name="Normal 10 3 3 6" xfId="6109" xr:uid="{E612573E-1B00-4B46-A8D4-70D528C72B41}"/>
    <cellStyle name="Normal 10 3 4" xfId="1637" xr:uid="{9FC72CD1-AE59-4442-949B-4D849B65B8AA}"/>
    <cellStyle name="Normal 10 3 4 2" xfId="2783" xr:uid="{ADAC6DB4-B267-4A42-9EB9-6FDC34500D25}"/>
    <cellStyle name="Normal 10 3 4 2 2" xfId="5760" xr:uid="{5CE4EE19-8DF7-4D41-9054-EE503466B924}"/>
    <cellStyle name="Normal 10 3 4 2 2 2" xfId="6754" xr:uid="{1BB0A4BE-2CFB-469B-8AD0-81C2F16A874D}"/>
    <cellStyle name="Normal 10 3 4 2 3" xfId="6215" xr:uid="{2D025589-D67F-49D0-B699-1E7FC21497D2}"/>
    <cellStyle name="Normal 10 3 4 3" xfId="4227" xr:uid="{3D9D492F-9BCD-4403-89CA-661B4A0CFC91}"/>
    <cellStyle name="Normal 10 3 4 3 2" xfId="6594" xr:uid="{590017B9-8D3A-4F48-B052-351EDA8A4C20}"/>
    <cellStyle name="Normal 10 3 4 4" xfId="5054" xr:uid="{A1A640DC-483D-4229-96CB-970D260DBCF1}"/>
    <cellStyle name="Normal 10 3 4 4 2" xfId="6387" xr:uid="{311EA884-B1B9-4D9E-96B0-E7FA5186E616}"/>
    <cellStyle name="Normal 10 3 4 5" xfId="6097" xr:uid="{D120D4AB-6AEC-4F5C-9B96-5A981EC2CCA6}"/>
    <cellStyle name="Normal 10 3 5" xfId="1673" xr:uid="{E9ECBC3C-A382-4743-AD39-518A73AF6F33}"/>
    <cellStyle name="Normal 10 3 5 2" xfId="2810" xr:uid="{FA4229DA-376F-4BB6-9CA3-A1630446B91A}"/>
    <cellStyle name="Normal 10 3 5 2 2" xfId="5786" xr:uid="{B2B33F6A-BC98-4A2B-8517-8D625CAFAA96}"/>
    <cellStyle name="Normal 10 3 5 2 2 2" xfId="6780" xr:uid="{7F432A63-9FF7-4855-89A5-6BF231CFC6FA}"/>
    <cellStyle name="Normal 10 3 5 2 3" xfId="6241" xr:uid="{95B514E5-E170-472E-8DBA-B8B856522BB4}"/>
    <cellStyle name="Normal 10 3 5 3" xfId="4257" xr:uid="{8B80655F-E799-4DC8-AA49-6A5A3CEF9F7B}"/>
    <cellStyle name="Normal 10 3 5 3 2" xfId="6618" xr:uid="{EFA6FAB2-D60B-4577-ACA4-F5C2ED2CC896}"/>
    <cellStyle name="Normal 10 3 5 4" xfId="5080" xr:uid="{B93C64EC-C731-4CF6-AD18-A7595B814130}"/>
    <cellStyle name="Normal 10 3 5 4 2" xfId="6413" xr:uid="{6529045C-2E10-4ECB-83ED-04E5A4D7BFD5}"/>
    <cellStyle name="Normal 10 3 5 5" xfId="6115" xr:uid="{5F02F6A6-BAF3-4751-8192-DAC79683ACD0}"/>
    <cellStyle name="Normal 10 3 6" xfId="2764" xr:uid="{0FA10FEF-7BA5-4F34-93B5-FC40D3CA465F}"/>
    <cellStyle name="Normal 10 3 6 2" xfId="4860" xr:uid="{DB592262-7126-4329-BD09-4E41C5363CE2}"/>
    <cellStyle name="Normal 10 3 6 2 2" xfId="6747" xr:uid="{860B830E-474B-4C9D-870E-ACF0CBA6678A}"/>
    <cellStyle name="Normal 10 3 6 2 3" xfId="5753" xr:uid="{BA68985E-89B5-40FD-B28B-21381E99F1BA}"/>
    <cellStyle name="Normal 10 3 6 3" xfId="6208" xr:uid="{19291641-C1F1-4F8F-92B3-B59E1CB86F39}"/>
    <cellStyle name="Normal 10 3 7" xfId="4211" xr:uid="{DE74627C-6C24-4DE5-95E4-29378354126A}"/>
    <cellStyle name="Normal 10 3 7 2" xfId="6589" xr:uid="{BD5C7DBD-DF94-4B6A-93EE-510296478C5F}"/>
    <cellStyle name="Normal 10 3 8" xfId="3651" xr:uid="{5F06AA37-7491-4737-884B-6BE81EB315E2}"/>
    <cellStyle name="Normal 10 3 8 2" xfId="6380" xr:uid="{05317744-3E37-42A9-9234-D955F8F20075}"/>
    <cellStyle name="Normal 10 3 8 3" xfId="5552" xr:uid="{B2285B55-8ED3-49ED-BD69-E1F22CA957A8}"/>
    <cellStyle name="Normal 10 3 9" xfId="5047" xr:uid="{3633608C-2E69-4701-B93C-18C1CDBFB0E4}"/>
    <cellStyle name="Normal 10 4" xfId="611" xr:uid="{68027ECC-0C53-4FF8-8E0D-3AA77372D726}"/>
    <cellStyle name="Normal 10 5" xfId="344" xr:uid="{AFC62F5D-724F-4D25-B08E-A2AC6DFF906D}"/>
    <cellStyle name="Normal 10 6" xfId="837" xr:uid="{F72E6B5C-710A-4318-8820-8703BA9B2215}"/>
    <cellStyle name="Normal 100" xfId="7018" xr:uid="{318CE6D5-833F-40B0-8A32-45FBF59A568F}"/>
    <cellStyle name="Normal 100 2" xfId="7011" xr:uid="{07A90030-9841-4281-A9C1-D3089F653759}"/>
    <cellStyle name="Normal 101" xfId="7005" xr:uid="{B69E87B1-21DC-49D5-B4EF-6C9B60E6D83F}"/>
    <cellStyle name="Normal 102" xfId="7214" xr:uid="{DE426BE7-E65E-4E11-9A21-7FDAA93B450B}"/>
    <cellStyle name="Normal 103" xfId="7199" xr:uid="{6BEA4D55-639C-4E96-9A5D-62EA1A20E6DD}"/>
    <cellStyle name="Normal 104" xfId="7119" xr:uid="{7CC0D5C8-7B15-4496-B19F-9EBC1B271493}"/>
    <cellStyle name="Normal 105" xfId="7083" xr:uid="{34B629F8-E4BC-4738-9C60-E4BADA161371}"/>
    <cellStyle name="Normal 106" xfId="7096" xr:uid="{BB1C89E8-71ED-4505-AFEB-0897BFF369CF}"/>
    <cellStyle name="Normal 107" xfId="7057" xr:uid="{EF065CDE-15DD-49BD-BDA4-E6325A0905C0}"/>
    <cellStyle name="Normal 108" xfId="7117" xr:uid="{1AACEF54-CB32-45A7-A06C-A95172B821BF}"/>
    <cellStyle name="Normal 109" xfId="7073" xr:uid="{EC347A2B-6598-4780-B6F9-4D5BA76E3CA0}"/>
    <cellStyle name="Normal 11" xfId="175" xr:uid="{247846DE-AF5A-4D21-BEFD-430FAAA7B2C4}"/>
    <cellStyle name="Normal 11 10" xfId="5264" xr:uid="{303F81FB-F5AF-4315-B13F-7503EF61B219}"/>
    <cellStyle name="Normal 11 2" xfId="597" xr:uid="{A87F07A3-CDC4-44F9-A578-2D2B96D917FB}"/>
    <cellStyle name="Normal 11 2 2" xfId="1481" xr:uid="{90148FFF-9C39-44EE-A810-00020A1F6237}"/>
    <cellStyle name="Normal 11 2 3" xfId="4861" xr:uid="{491245A6-E0C2-439D-A02D-B87CE2A67367}"/>
    <cellStyle name="Normal 11 2 4" xfId="4009" xr:uid="{6911E879-99A4-4688-946B-650D5A914C34}"/>
    <cellStyle name="Normal 11 2 5" xfId="3652" xr:uid="{A0A4DBB7-A7DE-416E-A325-B4F565C6C371}"/>
    <cellStyle name="Normal 11 2 6" xfId="1071" xr:uid="{A1B2C699-2115-48EB-9AAF-50780B1FC3FB}"/>
    <cellStyle name="Normal 11 3" xfId="346" xr:uid="{17FDBF06-071A-415D-AB8F-27B735BC8501}"/>
    <cellStyle name="Normal 11 3 2" xfId="1419" xr:uid="{06EBFAF6-B66E-45B9-8B76-E84C323D3051}"/>
    <cellStyle name="Normal 11 4" xfId="5431" xr:uid="{A41302B2-E089-45E7-9912-9095293E0AD1}"/>
    <cellStyle name="Normal 11 5" xfId="5456" xr:uid="{D32D96D1-B803-4D48-8831-7E13547F3905}"/>
    <cellStyle name="Normal 11 5 2" xfId="5737" xr:uid="{BEA51154-5A20-44E9-B50C-668D4CBA2C3F}"/>
    <cellStyle name="Normal 11 5 2 2" xfId="6705" xr:uid="{111A6D61-AA0B-4D42-8D45-59982CDADAA9}"/>
    <cellStyle name="Normal 11 5 3" xfId="6183" xr:uid="{3C6112A6-AF90-45FB-AA5F-FE796FED9149}"/>
    <cellStyle name="Normal 11 6" xfId="5621" xr:uid="{47A23F07-5B74-43C7-956A-3B23E92093BF}"/>
    <cellStyle name="Normal 11 6 2" xfId="6557" xr:uid="{19D20935-AC66-4AFA-8F15-BB8621C520E3}"/>
    <cellStyle name="Normal 11 7" xfId="6071" xr:uid="{4751523F-4E96-453A-875D-2332A5AA6DF3}"/>
    <cellStyle name="Normal 11 8" xfId="753" xr:uid="{9910B682-50CD-4261-A32F-A444BF1821EA}"/>
    <cellStyle name="Normal 11 9" xfId="818" xr:uid="{616A362C-DBF1-48FF-8358-6C4019B4C00B}"/>
    <cellStyle name="Normal 110" xfId="7175" xr:uid="{7188AC52-ECE5-4106-A6EF-FE1AC0DFDDF2}"/>
    <cellStyle name="Normal 111" xfId="7192" xr:uid="{44B5125C-F021-4CDC-916F-C0E957F156A9}"/>
    <cellStyle name="Normal 112" xfId="7170" xr:uid="{EC67AE79-3EB1-4B1A-A250-85162CF3657D}"/>
    <cellStyle name="Normal 113" xfId="7165" xr:uid="{FDB43F84-544D-48D9-99DD-0825E84D356B}"/>
    <cellStyle name="Normal 114" xfId="7133" xr:uid="{1C00D219-82CE-4339-8E1B-4FE8D35E98BE}"/>
    <cellStyle name="Normal 115" xfId="7163" xr:uid="{EE89A3E8-EFA6-4FDC-AF1A-EE1BD5E17566}"/>
    <cellStyle name="Normal 116" xfId="7168" xr:uid="{F4697CE1-635D-49CA-9922-2D11593A0495}"/>
    <cellStyle name="Normal 117" xfId="7074" xr:uid="{9924357F-95D5-4D8B-A3CB-E218796E6E42}"/>
    <cellStyle name="Normal 118" xfId="7155" xr:uid="{07200733-0DD8-4CA9-A9A1-E4D1722C12BD}"/>
    <cellStyle name="Normal 119" xfId="7022" xr:uid="{56238419-D37F-4DD7-81F9-5C101D4A61AC}"/>
    <cellStyle name="Normal 12" xfId="122" xr:uid="{C9EE881F-3751-48DD-8B5F-DB7D469D0851}"/>
    <cellStyle name="Normal 12 2" xfId="347" xr:uid="{33C091BF-02BF-47D3-9718-BF6B3E2EEDA8}"/>
    <cellStyle name="Normal 12 2 2" xfId="1530" xr:uid="{33A805FD-B654-49ED-B4FD-88F9737EDE7D}"/>
    <cellStyle name="Normal 12 2 3" xfId="1482" xr:uid="{5994A48A-3205-4FEC-9966-A3561369A584}"/>
    <cellStyle name="Normal 12 2 4" xfId="4862" xr:uid="{B6129C67-C7BF-4660-B61B-EC0EAF5DF0CC}"/>
    <cellStyle name="Normal 12 2 5" xfId="4010" xr:uid="{CC2746A7-A79F-4E5F-8FFF-51AD52EC6D83}"/>
    <cellStyle name="Normal 12 2 6" xfId="3653" xr:uid="{751E1057-0FE2-43C3-8FE7-693A99595616}"/>
    <cellStyle name="Normal 12 2 7" xfId="1072" xr:uid="{5A8BFA0A-2C1A-402A-BD1F-84697FEFA7A1}"/>
    <cellStyle name="Normal 12 3" xfId="1515" xr:uid="{B8A25058-49C0-47F0-B882-3E6C1DE041D5}"/>
    <cellStyle name="Normal 12 4" xfId="1426" xr:uid="{62E75EB9-0520-40D6-A803-1A03690EC14E}"/>
    <cellStyle name="Normal 12 5" xfId="230" xr:uid="{E888D8C9-4FEE-42C8-A835-94F79D480A25}"/>
    <cellStyle name="Normal 12 6" xfId="7232" xr:uid="{647CF9E7-23EB-4386-B91A-CE89B838615B}"/>
    <cellStyle name="Normal 120" xfId="7105" xr:uid="{241544C2-88FE-40AB-B13B-5F9A910B22AD}"/>
    <cellStyle name="Normal 121" xfId="7174" xr:uid="{CB3B29A3-0AB2-4D01-A04E-CE49C4F91F93}"/>
    <cellStyle name="Normal 122" xfId="7111" xr:uid="{7D4B5628-BC93-4A18-B2D8-F5E70C498424}"/>
    <cellStyle name="Normal 123" xfId="7107" xr:uid="{EC5B531A-0E9C-448F-8C8A-4C8F95EBFBF5}"/>
    <cellStyle name="Normal 124" xfId="7081" xr:uid="{F29E5534-588E-40C1-A35C-271AC47CA49C}"/>
    <cellStyle name="Normal 125" xfId="7246" xr:uid="{2DE2EEB7-AB29-4465-B759-63E566931354}"/>
    <cellStyle name="Normal 126" xfId="7052" xr:uid="{26518DA4-4B86-49CD-80BA-9627459315AD}"/>
    <cellStyle name="Normal 127" xfId="7193" xr:uid="{A54DABA8-414E-4A51-9BE3-FB4A06533DF7}"/>
    <cellStyle name="Normal 128" xfId="7187" xr:uid="{0A723AC3-5EBC-47CB-B716-E54B6AA372FC}"/>
    <cellStyle name="Normal 129" xfId="7183" xr:uid="{0FB6138B-3D36-4EE9-BFA4-75B9FF54F385}"/>
    <cellStyle name="Normal 13" xfId="123" xr:uid="{0A96F196-B132-432F-843A-D7DD8A4B8A3A}"/>
    <cellStyle name="Normal 13 2" xfId="348" xr:uid="{09F3D39C-7231-48E9-A472-E6A6FBAE4C79}"/>
    <cellStyle name="Normal 13 2 2" xfId="2155" xr:uid="{20175673-F35F-4714-AF75-A8BC8435954B}"/>
    <cellStyle name="Normal 13 2 2 2" xfId="4863" xr:uid="{C5025313-431D-4E94-8D63-F9EF558EA293}"/>
    <cellStyle name="Normal 13 2 3" xfId="2281" xr:uid="{20CAB2AB-EE3F-4C0D-A5F7-3D871D710884}"/>
    <cellStyle name="Normal 13 2 3 2" xfId="2510" xr:uid="{A72AF655-F7BF-4AA4-9E3A-71A2036E9157}"/>
    <cellStyle name="Normal 13 2 3 3" xfId="4011" xr:uid="{AACD1D16-42ED-44B6-BC4A-26BAA3F8ABE5}"/>
    <cellStyle name="Normal 13 2 4" xfId="2415" xr:uid="{EB0037F3-FD13-4340-ACAB-F32470DDF04F}"/>
    <cellStyle name="Normal 13 2 5" xfId="2150" xr:uid="{472984A6-DB57-4481-882D-CCCCFCEC5AE5}"/>
    <cellStyle name="Normal 13 2 6" xfId="3654" xr:uid="{2F4466F7-F9CC-4978-B050-DF059FDA1A7A}"/>
    <cellStyle name="Normal 13 2 7" xfId="1073" xr:uid="{0B78B065-553F-4DFB-85CD-60227FDF87EE}"/>
    <cellStyle name="Normal 13 2_NFS31" xfId="2131" xr:uid="{74AC33D2-0818-471D-9B8D-61618142A3AD}"/>
    <cellStyle name="Normal 13 3" xfId="880" xr:uid="{8428184B-21F4-4530-B07D-085C0091FD7B}"/>
    <cellStyle name="Normal 13 4" xfId="7236" xr:uid="{05F6513F-53D6-4996-A06A-B48ADBB520CD}"/>
    <cellStyle name="Normal 13 5" xfId="7039" xr:uid="{50F57613-0876-4AF9-B527-5CA38A29A325}"/>
    <cellStyle name="Normal 13 6" xfId="7222" xr:uid="{A87CE394-5A1C-40AC-8DA3-ADB8F555DABD}"/>
    <cellStyle name="Normal 13 7" xfId="7202" xr:uid="{D8DCE679-7A16-44F1-AF99-3B0ACC0ACF60}"/>
    <cellStyle name="Normal 130" xfId="7087" xr:uid="{4A9BC6EE-33A3-4BB3-8359-9E524DF038A9}"/>
    <cellStyle name="Normal 131" xfId="7109" xr:uid="{EB2D776E-ADF7-49AF-84F4-D3857B06661D}"/>
    <cellStyle name="Normal 132" xfId="7145" xr:uid="{D2A414BB-2269-4C40-BBA4-E37398082666}"/>
    <cellStyle name="Normal 133" xfId="7279" xr:uid="{9F56F4BF-01E9-4CBB-9211-012F2865E9F7}"/>
    <cellStyle name="Normal 134" xfId="7038" xr:uid="{A59785C0-4ECF-4391-8746-9124086295A6}"/>
    <cellStyle name="Normal 135" xfId="7317" xr:uid="{0152350E-49A3-4B64-BB01-E42C2BFDCF36}"/>
    <cellStyle name="Normal 136" xfId="7325" xr:uid="{D6A8B860-7F78-4819-B15F-417D1F3F1203}"/>
    <cellStyle name="Normal 137" xfId="7335" xr:uid="{8257CE40-891B-4C0A-BCD9-E1BE9B616DAF}"/>
    <cellStyle name="Normal 138" xfId="7343" xr:uid="{F0F3DA3E-F7D4-4861-8EE5-1397AC7FEA9A}"/>
    <cellStyle name="Normal 139" xfId="7333" xr:uid="{178D6121-910A-4383-A68B-EDAC24685007}"/>
    <cellStyle name="Normal 14" xfId="124" xr:uid="{5E427165-DA2A-4424-94EC-294310A0F556}"/>
    <cellStyle name="Normal 14 2" xfId="350" xr:uid="{8CD80CF4-72B4-4398-A040-5FA05228E929}"/>
    <cellStyle name="Normal 14 2 2" xfId="351" xr:uid="{42429A04-416D-434A-AEE4-5773511B0ADE}"/>
    <cellStyle name="Normal 14 2 2 2" xfId="1533" xr:uid="{74D02CB8-5986-4B98-A4D5-52FC76898762}"/>
    <cellStyle name="Normal 14 2 3" xfId="1486" xr:uid="{68C4389C-6DD9-433C-82E6-6317CEBC6786}"/>
    <cellStyle name="Normal 14 2 4" xfId="4864" xr:uid="{BAE8ED66-F474-4B0E-A3ED-DE4864D1AF8C}"/>
    <cellStyle name="Normal 14 2 5" xfId="4012" xr:uid="{15647C32-04AE-4B2B-9381-358B1C842C3E}"/>
    <cellStyle name="Normal 14 2 6" xfId="3655" xr:uid="{6DC3E8DD-967C-48B3-B018-673151752605}"/>
    <cellStyle name="Normal 14 2 7" xfId="1074" xr:uid="{ACF31D48-6CA6-4CFE-8D81-E377E5639C1B}"/>
    <cellStyle name="Normal 14 3" xfId="349" xr:uid="{C1F848B1-13D6-4D08-BDDD-29B5C9D440CF}"/>
    <cellStyle name="Normal 14 3 2" xfId="1518" xr:uid="{CB55D9CE-2583-4544-89F2-ABF11197DA31}"/>
    <cellStyle name="Normal 14 4" xfId="1433" xr:uid="{270407D0-D218-45A1-BCBE-6219D1C78512}"/>
    <cellStyle name="Normal 14 5" xfId="805" xr:uid="{9124E0D8-8A5F-47FF-9B00-163360F38732}"/>
    <cellStyle name="Normal 14 6" xfId="7090" xr:uid="{E6C7138F-7036-4109-A742-07A7234A0990}"/>
    <cellStyle name="Normal 14 7" xfId="7306" xr:uid="{D7A23A75-8914-45BF-A855-5E266780A2AC}"/>
    <cellStyle name="Normal 14 8" xfId="7327" xr:uid="{774129D4-269C-483C-B3CA-98CC4FE4375A}"/>
    <cellStyle name="Normal 140" xfId="7341" xr:uid="{A913EAB5-F8E1-4E43-AB81-44452321846C}"/>
    <cellStyle name="Normal 141" xfId="7329" xr:uid="{396BC844-975D-4842-AE18-46C63D4458C1}"/>
    <cellStyle name="Normal 142" xfId="7322" xr:uid="{F5225234-A433-4F64-B5A1-514E5E82990A}"/>
    <cellStyle name="Normal 143" xfId="7346" xr:uid="{ABE8C665-0E20-4117-8EC5-F1AF351F43E2}"/>
    <cellStyle name="Normal 144" xfId="7344" xr:uid="{49010710-3C9D-4829-9DDD-14DD64602489}"/>
    <cellStyle name="Normal 145" xfId="7353" xr:uid="{BD214C6D-FD55-4D6A-81EF-1F43DFD9E8A5}"/>
    <cellStyle name="Normal 15" xfId="125" xr:uid="{A9FFB59A-0FE1-44BF-A3AC-B30B5FD9F623}"/>
    <cellStyle name="Normal 15 2" xfId="353" xr:uid="{8088AB4C-C3DB-46C1-8B55-006339025C00}"/>
    <cellStyle name="Normal 15 2 2" xfId="4865" xr:uid="{0639F57B-DE9A-4B55-AED7-A3F643C3809D}"/>
    <cellStyle name="Normal 15 2 3" xfId="4013" xr:uid="{CE0005C5-5227-42A5-BD4D-E9CF9A679A8C}"/>
    <cellStyle name="Normal 15 2 4" xfId="3656" xr:uid="{AF096112-647E-4088-B8B4-EF1D5D58792E}"/>
    <cellStyle name="Normal 15 2 5" xfId="1075" xr:uid="{D0A72401-C88F-40E1-BED0-550AF83DAB74}"/>
    <cellStyle name="Normal 15 3" xfId="352" xr:uid="{AD58CF5F-F4F1-48B1-A614-DF0CE351CB55}"/>
    <cellStyle name="Normal 15 4" xfId="672" xr:uid="{A1AEAB9F-510F-425C-BE79-9FCFD279AC6D}"/>
    <cellStyle name="Normal 15 5" xfId="7299" xr:uid="{7DC9A513-F81B-4099-A68C-6CD062752946}"/>
    <cellStyle name="Normal 16" xfId="126" xr:uid="{537AC01B-E2B8-4024-B81F-C8796C9442B6}"/>
    <cellStyle name="Normal 16 10" xfId="1925" xr:uid="{19EDB8E6-29B1-4700-8D81-4EF0E3500A12}"/>
    <cellStyle name="Normal 16 10 2" xfId="1943" xr:uid="{F3E26255-82B5-4372-A80D-D1B8460EAC0D}"/>
    <cellStyle name="Normal 16 10 2 2" xfId="4866" xr:uid="{8336B760-B7C9-443A-9E0E-BF01BEE86585}"/>
    <cellStyle name="Normal 16 10 3" xfId="3000" xr:uid="{ABFB7D9F-7105-462D-9DFC-54564A1A9806}"/>
    <cellStyle name="Normal 16 10 3 2" xfId="4416" xr:uid="{4BF30C90-FCAE-4125-9C65-5F78A78A9740}"/>
    <cellStyle name="Normal 16 10 4" xfId="3657" xr:uid="{96A53A60-6BA9-4F99-9016-1FE1DFF4CD05}"/>
    <cellStyle name="Normal 16 10 5" xfId="5237" xr:uid="{EE38C591-821E-4313-96B8-C412676F9515}"/>
    <cellStyle name="Normal 16 11" xfId="2015" xr:uid="{E1C7C84C-56FC-403F-992A-F28AEAE5FE54}"/>
    <cellStyle name="Normal 16 11 2" xfId="3835" xr:uid="{468EB64B-733D-42F6-97EB-4559EC6893CA}"/>
    <cellStyle name="Normal 16 12" xfId="3008" xr:uid="{4C8168D2-52B1-4F04-B9B5-60B700676A1C}"/>
    <cellStyle name="Normal 16 12 2" xfId="4428" xr:uid="{17539077-D034-408C-89FE-790F3BAAACC9}"/>
    <cellStyle name="Normal 16 13" xfId="3015" xr:uid="{17E782ED-21D9-424F-837B-E20A7735CDB5}"/>
    <cellStyle name="Normal 16 14" xfId="4979" xr:uid="{AE66B4E5-710D-4CFF-9548-FD2C7B9996AB}"/>
    <cellStyle name="Normal 16 15" xfId="5002" xr:uid="{F37551BB-0DAE-4167-BE73-8DEF360D9C6A}"/>
    <cellStyle name="Normal 16 16" xfId="5250" xr:uid="{06E6076A-8CBC-488B-91A8-4D1997487BCE}"/>
    <cellStyle name="Normal 16 17" xfId="5267" xr:uid="{A2CAC502-2117-49EB-BAA6-E853C2D453A5}"/>
    <cellStyle name="Normal 16 18" xfId="783" xr:uid="{E894242B-1E93-4728-834D-682470084AB1}"/>
    <cellStyle name="Normal 16 19" xfId="7154" xr:uid="{BE7AB42C-678F-4DEA-8E82-BF58BC27EE61}"/>
    <cellStyle name="Normal 16 2" xfId="354" xr:uid="{206F0C08-6E2D-4717-B1F3-497AA939873A}"/>
    <cellStyle name="Normal 16 2 10" xfId="5019" xr:uid="{54B5DE8A-8DC1-4CEA-8AF1-8F09DE4B19E2}"/>
    <cellStyle name="Normal 16 2 11" xfId="5334" xr:uid="{3866B740-EB77-4BDE-890B-651DE5F6161A}"/>
    <cellStyle name="Normal 16 2 12" xfId="1076" xr:uid="{91B115B5-8D93-4AE3-A94C-8A1484DB399C}"/>
    <cellStyle name="Normal 16 2 2" xfId="1491" xr:uid="{B5300E0F-A96D-456C-A7F6-D6A995A9F37B}"/>
    <cellStyle name="Normal 16 2 2 2" xfId="1846" xr:uid="{25F31307-DB37-4C98-9C1A-0B43173102AB}"/>
    <cellStyle name="Normal 16 2 2 2 2" xfId="2295" xr:uid="{36C21ED9-0862-47BF-B893-42B4FFD8017C}"/>
    <cellStyle name="Normal 16 2 2 2 2 2" xfId="2524" xr:uid="{E7840AE3-5633-4594-AECE-C815F55279CF}"/>
    <cellStyle name="Normal 16 2 2 2 2 2 2" xfId="4601" xr:uid="{C78C0A38-44C3-443F-97FA-E52E677AC6E0}"/>
    <cellStyle name="Normal 16 2 2 2 2 3" xfId="3193" xr:uid="{6F84D1D3-D66D-408F-A63E-D4DF08059CEA}"/>
    <cellStyle name="Normal 16 2 2 2 3" xfId="2429" xr:uid="{F617ADCB-9599-427B-9E89-37016375867C}"/>
    <cellStyle name="Normal 16 2 2 2 3 2" xfId="4821" xr:uid="{AE9C5EB0-8731-475B-B76F-C41428A20673}"/>
    <cellStyle name="Normal 16 2 2 2 3 3" xfId="3600" xr:uid="{86AD7613-B975-4F9C-A53F-A439A5AC2A28}"/>
    <cellStyle name="Normal 16 2 2 2 4" xfId="2933" xr:uid="{8E2E03B7-A7DD-4FFF-955D-34BC95CB5BCB}"/>
    <cellStyle name="Normal 16 2 2 2 4 2" xfId="3908" xr:uid="{388DE38D-1348-4279-BB42-552B11CC4886}"/>
    <cellStyle name="Normal 16 2 2 2 5" xfId="2168" xr:uid="{D63243A6-E341-4150-8F3E-5A318F6E8D26}"/>
    <cellStyle name="Normal 16 2 2 2 5 2" xfId="4513" xr:uid="{8FDA20D6-DBF7-4717-ABE5-E7B5F9792AC5}"/>
    <cellStyle name="Normal 16 2 2 2 6" xfId="3098" xr:uid="{1312ED40-D4F8-4EF4-A3C5-869F072633BA}"/>
    <cellStyle name="Normal 16 2 2 2 7" xfId="5171" xr:uid="{01B7EE9C-4D04-45A7-AB82-31D97569D273}"/>
    <cellStyle name="Normal 16 2 2 3" xfId="1793" xr:uid="{1730A872-6165-4B1E-827E-5F903890EA00}"/>
    <cellStyle name="Normal 16 2 2 3 2" xfId="2275" xr:uid="{8C2F53E0-F803-4458-8DB1-1C14AFC40E3F}"/>
    <cellStyle name="Normal 16 2 2 3 2 2" xfId="2504" xr:uid="{A8D2E3BC-4A7F-4C01-ADFC-3FB9EE3FF642}"/>
    <cellStyle name="Normal 16 2 2 3 2 2 2" xfId="6824" xr:uid="{E6315FC0-D2D6-44A0-ACF2-F20D99358298}"/>
    <cellStyle name="Normal 16 2 2 3 2 3" xfId="4556" xr:uid="{02806CD1-8E5B-4AF4-9B13-BAD17A98EB99}"/>
    <cellStyle name="Normal 16 2 2 3 3" xfId="2409" xr:uid="{11271BA0-4791-4F17-B502-78E0242B0EDC}"/>
    <cellStyle name="Normal 16 2 2 3 3 2" xfId="4320" xr:uid="{D80659B0-9A4A-4A9B-93B1-05E54D1F5542}"/>
    <cellStyle name="Normal 16 2 2 3 4" xfId="2884" xr:uid="{12200DDA-EE8A-41A8-9A58-256638F55DCA}"/>
    <cellStyle name="Normal 16 2 2 3 4 2" xfId="6457" xr:uid="{AB394418-C88A-4717-A79E-2A46D0D43DF5}"/>
    <cellStyle name="Normal 16 2 2 3 5" xfId="2143" xr:uid="{DB92D43D-B9D9-42EF-9024-5E1BB7CA2273}"/>
    <cellStyle name="Normal 16 2 2 3 6" xfId="3148" xr:uid="{71D286CA-6EE7-41B3-B74C-AC8C33E05F1C}"/>
    <cellStyle name="Normal 16 2 2 3 7" xfId="5124" xr:uid="{C86196FA-4B51-4438-AF5A-2C54C6649474}"/>
    <cellStyle name="Normal 16 2 2 4" xfId="2251" xr:uid="{9DABAFBC-8D71-490A-8505-7C8C6BD7EE75}"/>
    <cellStyle name="Normal 16 2 2 4 2" xfId="2480" xr:uid="{446666A8-E00F-4B6A-AC5B-8A696D3C95F0}"/>
    <cellStyle name="Normal 16 2 2 4 2 2" xfId="4771" xr:uid="{7CCB6F0F-1BB4-437B-AA4B-46336EB49275}"/>
    <cellStyle name="Normal 16 2 2 4 3" xfId="3538" xr:uid="{2F6E10C6-EE2E-4F52-A61A-CB2E9A5CB632}"/>
    <cellStyle name="Normal 16 2 2 5" xfId="2383" xr:uid="{84903094-2F7A-4574-B892-A2B3E9A9E48B}"/>
    <cellStyle name="Normal 16 2 2 5 2" xfId="3860" xr:uid="{EF1C5A75-2CAF-40D7-9F63-FACEF97DDA92}"/>
    <cellStyle name="Normal 16 2 2 6" xfId="2728" xr:uid="{864D9A8C-2303-409B-AE15-F0BA09DB0C42}"/>
    <cellStyle name="Normal 16 2 2 6 2" xfId="4470" xr:uid="{972EE82B-BAFD-41BB-84E9-4AEBBA8FD42E}"/>
    <cellStyle name="Normal 16 2 2 7" xfId="2089" xr:uid="{681EF7CA-B167-43C2-A84D-DC27FAC34296}"/>
    <cellStyle name="Normal 16 2 2 7 2" xfId="4176" xr:uid="{1093CE14-3AA1-4D76-BDB6-0A9C5CB366E4}"/>
    <cellStyle name="Normal 16 2 2 8" xfId="3044" xr:uid="{B0508FAF-DA27-4B4C-9D6B-A19522E9F342}"/>
    <cellStyle name="Normal 16 2 2 9" xfId="5392" xr:uid="{C379A605-36B6-4896-8275-221C4AAAB46C}"/>
    <cellStyle name="Normal 16 2 2_NFS31" xfId="2114" xr:uid="{F3C3E7EE-8F2F-4678-8E19-864A2B0FF058}"/>
    <cellStyle name="Normal 16 2 3" xfId="1813" xr:uid="{EFDB2AAB-A2BB-42D3-A28A-4C26A5335AFA}"/>
    <cellStyle name="Normal 16 2 3 2" xfId="1862" xr:uid="{F965B488-04FB-4691-8FEF-B12F1C443CDF}"/>
    <cellStyle name="Normal 16 2 3 2 2" xfId="2517" xr:uid="{1E9137F0-D420-4E7D-9CB8-70972AD74538}"/>
    <cellStyle name="Normal 16 2 3 2 2 2" xfId="4580" xr:uid="{B319ABCE-9B28-4300-A91F-48AD57D24B0F}"/>
    <cellStyle name="Normal 16 2 3 2 2 2 2" xfId="6882" xr:uid="{26D6E884-6AE9-42A9-BF7B-EA70AA195421}"/>
    <cellStyle name="Normal 16 2 3 2 2 3" xfId="6332" xr:uid="{41C8E357-F563-45F2-8D3A-D40C45AD66A5}"/>
    <cellStyle name="Normal 16 2 3 2 3" xfId="2949" xr:uid="{8DDD01C0-503B-4532-A69E-55695DBB2600}"/>
    <cellStyle name="Normal 16 2 3 2 3 2" xfId="4369" xr:uid="{9AF06CF5-1A1B-47ED-8B25-FD899A29447C}"/>
    <cellStyle name="Normal 16 2 3 2 4" xfId="2288" xr:uid="{F15BAD5F-B3C0-445B-92F0-E62C9685B1B3}"/>
    <cellStyle name="Normal 16 2 3 2 4 2" xfId="6510" xr:uid="{43AADB07-7DA2-4A36-B7AB-21B5ABBF8ACD}"/>
    <cellStyle name="Normal 16 2 3 2 5" xfId="3172" xr:uid="{162C02A9-09FD-461D-AB36-23F11B050315}"/>
    <cellStyle name="Normal 16 2 3 2 6" xfId="5187" xr:uid="{9E07EB82-5A68-4A31-9EB4-28E18093ACB4}"/>
    <cellStyle name="Normal 16 2 3 3" xfId="2422" xr:uid="{E6C68AAF-12DA-46C9-B650-84333F96CA26}"/>
    <cellStyle name="Normal 16 2 3 3 2" xfId="4800" xr:uid="{9055BCAC-AAE6-4AE4-B49C-A8BCA975594B}"/>
    <cellStyle name="Normal 16 2 3 3 2 2" xfId="6839" xr:uid="{0508AF1C-1639-49BC-AF5B-AF6CABB04862}"/>
    <cellStyle name="Normal 16 2 3 3 3" xfId="3579" xr:uid="{345E4C8A-3B05-4339-A685-D7F4EA304DF8}"/>
    <cellStyle name="Normal 16 2 3 4" xfId="2901" xr:uid="{C7BEEE52-969F-4838-8092-A8FACC8F1E46}"/>
    <cellStyle name="Normal 16 2 3 4 2" xfId="3887" xr:uid="{AF51A42A-BBDC-4FAB-8C03-5CE3BDF9B465}"/>
    <cellStyle name="Normal 16 2 3 5" xfId="2161" xr:uid="{93FD5960-C46E-4629-8DAD-572457BF5F2C}"/>
    <cellStyle name="Normal 16 2 3 5 2" xfId="4500" xr:uid="{3FC87A0D-4C74-4713-95E4-EDAB8C4055DB}"/>
    <cellStyle name="Normal 16 2 3 6" xfId="3077" xr:uid="{42BD03F1-9611-4690-957F-90320551DCEE}"/>
    <cellStyle name="Normal 16 2 3 7" xfId="5140" xr:uid="{73E38CF7-2EC6-4979-8EC1-15445F422C70}"/>
    <cellStyle name="Normal 16 2 4" xfId="1830" xr:uid="{9D534990-819D-4EF5-B099-328F76B4F53C}"/>
    <cellStyle name="Normal 16 2 4 2" xfId="2268" xr:uid="{621E5660-F30B-4E9E-943F-62D0FBA053C7}"/>
    <cellStyle name="Normal 16 2 4 2 2" xfId="2497" xr:uid="{0B1C477C-62F7-43EF-924A-E7B984A8B5E7}"/>
    <cellStyle name="Normal 16 2 4 2 2 2" xfId="6854" xr:uid="{AB9644D7-7112-4B92-A71C-5EDAA5E988BD}"/>
    <cellStyle name="Normal 16 2 4 2 3" xfId="4535" xr:uid="{6A75519A-B79F-410F-A634-ECAB7CD5D2E3}"/>
    <cellStyle name="Normal 16 2 4 3" xfId="2401" xr:uid="{BA8BFBF0-1155-4F1E-8B6E-77808716339C}"/>
    <cellStyle name="Normal 16 2 4 3 2" xfId="4344" xr:uid="{A0AE37EA-8DD5-4539-9CC7-8F09F6EDFD21}"/>
    <cellStyle name="Normal 16 2 4 4" xfId="2918" xr:uid="{0EC465D4-8B09-4903-A060-69A0A53320F2}"/>
    <cellStyle name="Normal 16 2 4 4 2" xfId="6484" xr:uid="{7C09DC5A-7623-4EF0-8708-469CF4F06C94}"/>
    <cellStyle name="Normal 16 2 4 5" xfId="2133" xr:uid="{D2AF9428-7227-4464-849C-E109444D0B7D}"/>
    <cellStyle name="Normal 16 2 4 6" xfId="3127" xr:uid="{63D5B6CE-39F4-4F27-A129-92325082BA29}"/>
    <cellStyle name="Normal 16 2 4 7" xfId="5156" xr:uid="{58B1AA1B-6B7B-421A-9568-95BA8D224541}"/>
    <cellStyle name="Normal 16 2 5" xfId="1743" xr:uid="{5D3DB97C-83CF-4790-B417-9056F9EC003A}"/>
    <cellStyle name="Normal 16 2 5 2" xfId="2460" xr:uid="{75E6CEA1-889B-4865-ABFC-B15017185EC5}"/>
    <cellStyle name="Normal 16 2 5 2 2" xfId="4731" xr:uid="{E51FD693-B6B6-40D3-9253-03CEF88064B0}"/>
    <cellStyle name="Normal 16 2 5 2 2 2" xfId="6809" xr:uid="{6B568765-2DE0-49A8-8F67-4DBEF3D30DC2}"/>
    <cellStyle name="Normal 16 2 5 2 3" xfId="6270" xr:uid="{38D5C837-FC31-460C-BC4F-4960B90AC1BE}"/>
    <cellStyle name="Normal 16 2 5 3" xfId="2855" xr:uid="{461E63C2-807B-4017-8CB7-75C7D26982A1}"/>
    <cellStyle name="Normal 16 2 5 3 2" xfId="4295" xr:uid="{EF4EC041-160E-49AD-8C0F-AA30EF8B4190}"/>
    <cellStyle name="Normal 16 2 5 4" xfId="2229" xr:uid="{723AD54E-AC2F-4003-9B4D-06D718DCDE7A}"/>
    <cellStyle name="Normal 16 2 5 4 2" xfId="6442" xr:uid="{7EE7A270-DB51-484F-A93B-63C80F591E69}"/>
    <cellStyle name="Normal 16 2 5 5" xfId="3432" xr:uid="{7FEBA3B9-1D08-43F2-905E-B2E6957F5C87}"/>
    <cellStyle name="Normal 16 2 5 6" xfId="5109" xr:uid="{8FC509E2-7184-4206-B108-239A8C3A0C31}"/>
    <cellStyle name="Normal 16 2 6" xfId="1908" xr:uid="{48A7AF09-2AB7-4FF7-83BB-F007CFB68FB7}"/>
    <cellStyle name="Normal 16 2 6 2" xfId="2985" xr:uid="{C36B877C-6C43-4CD5-A1BE-FC8E0689919C}"/>
    <cellStyle name="Normal 16 2 6 2 2" xfId="4936" xr:uid="{594F2743-5E81-4A5A-916E-255BE9BB3862}"/>
    <cellStyle name="Normal 16 2 6 3" xfId="2362" xr:uid="{57CC93C2-88B2-4099-A474-4C3C67B8A803}"/>
    <cellStyle name="Normal 16 2 6 3 2" xfId="6539" xr:uid="{16CE8899-C5D1-45B0-8037-73F6A6348D2F}"/>
    <cellStyle name="Normal 16 2 6 4" xfId="3839" xr:uid="{79C80EAF-2D65-4274-B95E-7D3119FA7E34}"/>
    <cellStyle name="Normal 16 2 6 5" xfId="5222" xr:uid="{40DDEEA7-D9D4-444A-A09E-24685F22AD90}"/>
    <cellStyle name="Normal 16 2 7" xfId="2629" xr:uid="{11848041-7AE9-44C1-897B-6778C3DCFD4D}"/>
    <cellStyle name="Normal 16 2 7 2" xfId="4435" xr:uid="{97EC180E-0939-4790-8E9F-71E62F5205D4}"/>
    <cellStyle name="Normal 16 2 8" xfId="2066" xr:uid="{0799EDA7-A455-4A9E-864B-499157E305BA}"/>
    <cellStyle name="Normal 16 2 8 2" xfId="6358" xr:uid="{77835E8A-057E-4B11-8CBB-DE3EE739327C}"/>
    <cellStyle name="Normal 16 2 9" xfId="3021" xr:uid="{04A24A37-04DD-48C9-9A64-3A3DC27C3A13}"/>
    <cellStyle name="Normal 16 2_NFS31" xfId="2113" xr:uid="{5198E741-B659-4E7D-94D8-08514A3B07CE}"/>
    <cellStyle name="Normal 16 3" xfId="1154" xr:uid="{FA42E10C-7EA8-4D62-9032-652EBEC6476C}"/>
    <cellStyle name="Normal 16 3 10" xfId="5262" xr:uid="{F428C09C-2837-49B1-B63B-4C091119637D}"/>
    <cellStyle name="Normal 16 3 2" xfId="1799" xr:uid="{7980F31F-2E76-4105-8843-BAF5FA2EF399}"/>
    <cellStyle name="Normal 16 3 2 2" xfId="1849" xr:uid="{E6DE723A-72A9-4FD1-8878-7B2171EABD16}"/>
    <cellStyle name="Normal 16 3 2 2 2" xfId="2292" xr:uid="{F2EF7AF7-A9B8-40B5-860D-752890724CAD}"/>
    <cellStyle name="Normal 16 3 2 2 2 2" xfId="2521" xr:uid="{7230441E-840B-4D2D-913F-CE8ACA222B36}"/>
    <cellStyle name="Normal 16 3 2 2 2 2 2" xfId="4614" xr:uid="{D838DE56-7A28-418D-A9E4-E230512963A1}"/>
    <cellStyle name="Normal 16 3 2 2 2 3" xfId="3206" xr:uid="{AC9B5492-9DFF-4429-931F-447BE4B477B3}"/>
    <cellStyle name="Normal 16 3 2 2 3" xfId="2426" xr:uid="{7000EE36-31EA-4AA3-B14D-DAE4524F2E32}"/>
    <cellStyle name="Normal 16 3 2 2 3 2" xfId="4834" xr:uid="{EA37349D-EFE6-4AB6-9850-CE7C12A1D658}"/>
    <cellStyle name="Normal 16 3 2 2 3 3" xfId="3613" xr:uid="{20BE4E6C-3B73-4621-84EE-0BEF80F87799}"/>
    <cellStyle name="Normal 16 3 2 2 4" xfId="2936" xr:uid="{D5ACE65C-3A59-4243-8F97-5EDF52CF33CB}"/>
    <cellStyle name="Normal 16 3 2 2 4 2" xfId="3921" xr:uid="{9BACE809-FF8C-413E-8A3B-6E31DD4ED040}"/>
    <cellStyle name="Normal 16 3 2 2 5" xfId="2165" xr:uid="{C967850D-1E78-4178-AE80-DD93F8E37EF7}"/>
    <cellStyle name="Normal 16 3 2 2 5 2" xfId="4520" xr:uid="{A8E90452-4940-4A08-B34E-3D0D782D5343}"/>
    <cellStyle name="Normal 16 3 2 2 6" xfId="3111" xr:uid="{134B0426-0EC8-44BB-9ADA-0636D3110D08}"/>
    <cellStyle name="Normal 16 3 2 2 7" xfId="5174" xr:uid="{FE883967-39DE-4EC8-A52A-0F13C775697E}"/>
    <cellStyle name="Normal 16 3 2 3" xfId="2257" xr:uid="{829B9ECC-52EB-45A4-800D-2DAABCB3FB3C}"/>
    <cellStyle name="Normal 16 3 2 3 2" xfId="2486" xr:uid="{A9C92D19-119B-46C3-A1A5-E84CA4CE5AA0}"/>
    <cellStyle name="Normal 16 3 2 3 2 2" xfId="4569" xr:uid="{C0AEA382-9E77-452E-BCBA-FBCFCE9110C0}"/>
    <cellStyle name="Normal 16 3 2 3 3" xfId="3161" xr:uid="{B5D0FBC6-7B16-45E6-907D-800A1007D343}"/>
    <cellStyle name="Normal 16 3 2 4" xfId="2389" xr:uid="{0DB33549-148C-459B-BA48-E4DE1394931F}"/>
    <cellStyle name="Normal 16 3 2 4 2" xfId="4784" xr:uid="{9CED3A1C-1206-4988-B8D7-977B3C67885C}"/>
    <cellStyle name="Normal 16 3 2 4 3" xfId="3554" xr:uid="{FD6E18DD-E98D-418D-9C41-35629BE5E066}"/>
    <cellStyle name="Normal 16 3 2 5" xfId="2888" xr:uid="{421C0454-8EB0-485D-97E1-8331E7DD72D1}"/>
    <cellStyle name="Normal 16 3 2 5 2" xfId="3873" xr:uid="{B454E19C-9CF3-4BA9-8C7F-434C58F92233}"/>
    <cellStyle name="Normal 16 3 2 6" xfId="2095" xr:uid="{8BEA9F77-D419-4AEA-B137-7108629E1A90}"/>
    <cellStyle name="Normal 16 3 2 6 2" xfId="4481" xr:uid="{24F0DF95-05DA-407D-80EE-1C1D2BBCD903}"/>
    <cellStyle name="Normal 16 3 2 7" xfId="3057" xr:uid="{87470C18-368E-4BDC-8040-5DB66DBFC253}"/>
    <cellStyle name="Normal 16 3 2 8" xfId="5127" xr:uid="{BEDA6798-3505-4974-84AA-8984D5CF77F3}"/>
    <cellStyle name="Normal 16 3 2_NFS31" xfId="2116" xr:uid="{3591F6CB-91AD-4E5A-A2ED-8485B4B730A4}"/>
    <cellStyle name="Normal 16 3 3" xfId="1816" xr:uid="{355568A3-2114-49AE-8380-F5CB3E31D465}"/>
    <cellStyle name="Normal 16 3 3 2" xfId="1865" xr:uid="{FADDF158-D3CA-400F-9A3E-87D68E843799}"/>
    <cellStyle name="Normal 16 3 3 2 2" xfId="2501" xr:uid="{DBD551EE-5381-4D31-89C0-70FACCC156CC}"/>
    <cellStyle name="Normal 16 3 3 2 2 2" xfId="4593" xr:uid="{0C830DA7-B33F-4782-A8D9-45CB05493588}"/>
    <cellStyle name="Normal 16 3 3 2 2 2 2" xfId="6885" xr:uid="{B4AAB747-CF5A-4CC8-9CEF-1F20AF0A3172}"/>
    <cellStyle name="Normal 16 3 3 2 2 3" xfId="6335" xr:uid="{065E526F-9FDB-4341-ABBD-A9CE39E0EC50}"/>
    <cellStyle name="Normal 16 3 3 2 3" xfId="2952" xr:uid="{9AF4F076-0DD3-4F88-9A4A-D1C3EECFF8E1}"/>
    <cellStyle name="Normal 16 3 3 2 3 2" xfId="4372" xr:uid="{C65E8D54-822A-4812-A9EF-3D356982F20B}"/>
    <cellStyle name="Normal 16 3 3 2 4" xfId="2272" xr:uid="{020DE2A2-E6FF-4E7E-BC06-8816A411349B}"/>
    <cellStyle name="Normal 16 3 3 2 4 2" xfId="6513" xr:uid="{05317C8E-99F3-400C-9975-9DBA037B4B80}"/>
    <cellStyle name="Normal 16 3 3 2 5" xfId="3185" xr:uid="{0677E580-F540-4D32-A68A-682431D93D41}"/>
    <cellStyle name="Normal 16 3 3 2 6" xfId="5190" xr:uid="{76321107-668C-47C9-B450-F384327908E7}"/>
    <cellStyle name="Normal 16 3 3 3" xfId="2406" xr:uid="{1936AC45-4048-4DEF-A350-929CA58B97E3}"/>
    <cellStyle name="Normal 16 3 3 3 2" xfId="4813" xr:uid="{B32677C0-2849-4759-BEC0-E7BE85AC3C35}"/>
    <cellStyle name="Normal 16 3 3 3 2 2" xfId="6842" xr:uid="{D5546DE7-D869-4FD9-A42D-E05FD6323FC3}"/>
    <cellStyle name="Normal 16 3 3 3 3" xfId="3592" xr:uid="{927BA57A-C4BB-4920-8D33-1819ECE73EC0}"/>
    <cellStyle name="Normal 16 3 3 4" xfId="2904" xr:uid="{1BA48DB9-3C78-4B17-A008-802E9102CFBD}"/>
    <cellStyle name="Normal 16 3 3 4 2" xfId="3900" xr:uid="{3A47459B-A741-4731-9FA9-9E27FB3515DF}"/>
    <cellStyle name="Normal 16 3 3 5" xfId="2139" xr:uid="{EC757AFE-D253-4B31-8DAB-9ABF76F430A4}"/>
    <cellStyle name="Normal 16 3 3 5 2" xfId="4507" xr:uid="{0ADE9518-2097-4746-915E-B8EF4534EA6A}"/>
    <cellStyle name="Normal 16 3 3 6" xfId="3090" xr:uid="{D2BABC2A-C193-49D0-841E-14011E9202AD}"/>
    <cellStyle name="Normal 16 3 3 7" xfId="5143" xr:uid="{D09EB117-C339-4407-93F4-03FBFAADE2DD}"/>
    <cellStyle name="Normal 16 3 4" xfId="1833" xr:uid="{DD4D8405-7A3E-4644-8628-BB2EF00600BE}"/>
    <cellStyle name="Normal 16 3 4 2" xfId="2466" xr:uid="{18C7BE3E-1CC8-4B24-A046-7D888F4FFBF9}"/>
    <cellStyle name="Normal 16 3 4 2 2" xfId="4548" xr:uid="{B60C726A-7EEB-41EF-9EAF-D0B85978173F}"/>
    <cellStyle name="Normal 16 3 4 2 2 2" xfId="6857" xr:uid="{4078A11B-6261-4DDC-9AC5-3A1F82EAF86F}"/>
    <cellStyle name="Normal 16 3 4 2 3" xfId="6310" xr:uid="{203164FE-42A2-4440-894F-E8936C6A98AE}"/>
    <cellStyle name="Normal 16 3 4 3" xfId="2921" xr:uid="{8D6271D5-F69F-4505-BB64-B8CD8580F256}"/>
    <cellStyle name="Normal 16 3 4 3 2" xfId="4347" xr:uid="{0D45ECE4-7744-4CB6-BDCE-4F3110F7CFE9}"/>
    <cellStyle name="Normal 16 3 4 4" xfId="2236" xr:uid="{236FC535-D673-42B7-B97D-C13442BE341B}"/>
    <cellStyle name="Normal 16 3 4 4 2" xfId="6487" xr:uid="{3B8B2C97-8942-4967-8642-38A0FA74D822}"/>
    <cellStyle name="Normal 16 3 4 5" xfId="3140" xr:uid="{7247C7B4-F823-43E3-A410-F496DC3A25CC}"/>
    <cellStyle name="Normal 16 3 4 6" xfId="5159" xr:uid="{ACF1D349-9DD1-4153-A367-7D437063DD5E}"/>
    <cellStyle name="Normal 16 3 5" xfId="1764" xr:uid="{3F8B55AB-6B6B-4045-A394-9F412A2C296A}"/>
    <cellStyle name="Normal 16 3 5 2" xfId="2862" xr:uid="{E2091585-A11E-4623-802C-9FF8F4EA4C38}"/>
    <cellStyle name="Normal 16 3 5 2 2" xfId="4761" xr:uid="{1677B664-2A2B-4E2B-B9D7-4D24C5693D8D}"/>
    <cellStyle name="Normal 16 3 5 2 2 2" xfId="6812" xr:uid="{EB81CC36-FAC9-4484-92CB-C2092F372685}"/>
    <cellStyle name="Normal 16 3 5 2 3" xfId="6273" xr:uid="{8186B1C0-A8C2-4A26-964F-FC4F7189769B}"/>
    <cellStyle name="Normal 16 3 5 3" xfId="2369" xr:uid="{DEA9A041-EFB6-478B-AA48-DEEE01C72D8B}"/>
    <cellStyle name="Normal 16 3 5 3 2" xfId="4302" xr:uid="{4024DBD4-5FCD-467C-AD00-6FBF76DD6D0C}"/>
    <cellStyle name="Normal 16 3 5 4" xfId="3518" xr:uid="{ACCFE9A2-42B3-44EA-9CFA-FEDEDAEC5A39}"/>
    <cellStyle name="Normal 16 3 5 4 2" xfId="6445" xr:uid="{92FBB84A-51A6-41B0-A872-FFB3BE07DA2B}"/>
    <cellStyle name="Normal 16 3 5 5" xfId="5112" xr:uid="{9DBEFEB7-3D58-4B7E-8856-01A0813844DC}"/>
    <cellStyle name="Normal 16 3 6" xfId="2652" xr:uid="{4C370BAA-94B9-48D1-BCB7-0A880C93CEB8}"/>
    <cellStyle name="Normal 16 3 6 2" xfId="3852" xr:uid="{66237D3A-2332-4D79-96C1-91864D28B402}"/>
    <cellStyle name="Normal 16 3 6 2 2" xfId="6733" xr:uid="{2E74FF2E-7416-42BF-BADB-BE784A560A02}"/>
    <cellStyle name="Normal 16 3 6 3" xfId="6194" xr:uid="{75AD40A0-F413-4983-B88E-CEE4B79598BA}"/>
    <cellStyle name="Normal 16 3 7" xfId="2073" xr:uid="{DCD54839-26DC-43EB-924F-4AB03A24C0C2}"/>
    <cellStyle name="Normal 16 3 7 2" xfId="4460" xr:uid="{E296DB44-D660-4156-A613-B9C8604A87A9}"/>
    <cellStyle name="Normal 16 3 8" xfId="3036" xr:uid="{60E00C65-5CA8-4691-8F21-C1E87145C601}"/>
    <cellStyle name="Normal 16 3 8 2" xfId="6366" xr:uid="{D6C39AE1-A6F0-4D51-AAFF-E74947DDD438}"/>
    <cellStyle name="Normal 16 3 9" xfId="5031" xr:uid="{70039B51-AE03-4CB7-B079-1EF7BB19DCA9}"/>
    <cellStyle name="Normal 16 3_NFS31" xfId="2115" xr:uid="{1A07E74F-9A52-4BFC-B7C1-69B3F87416CB}"/>
    <cellStyle name="Normal 16 4" xfId="1450" xr:uid="{1C5732A7-DB04-4F64-BDFE-0F04E9690F95}"/>
    <cellStyle name="Normal 16 4 2" xfId="1842" xr:uid="{1AAD23FB-9FE6-4017-8D5A-42F3305041D3}"/>
    <cellStyle name="Normal 16 4 2 2" xfId="2284" xr:uid="{8FCF243B-10FF-4BAD-9B05-0D40A3EC0F59}"/>
    <cellStyle name="Normal 16 4 2 2 2" xfId="2513" xr:uid="{742F4891-417B-49B5-A853-D6AE69393657}"/>
    <cellStyle name="Normal 16 4 2 2 2 2" xfId="4599" xr:uid="{3F8C400D-0705-4F9D-A00B-E65A56157459}"/>
    <cellStyle name="Normal 16 4 2 2 3" xfId="3191" xr:uid="{1AD2652A-3ABA-44A6-8509-0FB17E747C9C}"/>
    <cellStyle name="Normal 16 4 2 3" xfId="2418" xr:uid="{CA9FC5E7-8CCB-4A76-B042-44D238C5457E}"/>
    <cellStyle name="Normal 16 4 2 3 2" xfId="4819" xr:uid="{0C25E989-276F-4FA6-8F1A-BC7F7E518849}"/>
    <cellStyle name="Normal 16 4 2 3 3" xfId="3598" xr:uid="{34B14838-54F3-4A28-9080-2F399EBBF834}"/>
    <cellStyle name="Normal 16 4 2 4" xfId="2929" xr:uid="{018ABBD8-5C94-41E8-81A2-1C00F3C9E662}"/>
    <cellStyle name="Normal 16 4 2 4 2" xfId="3906" xr:uid="{E18A090C-AE76-4622-9E7A-E53F52D27939}"/>
    <cellStyle name="Normal 16 4 2 5" xfId="2157" xr:uid="{36AF6C47-D9A7-4596-8866-3E2B5AC0B08D}"/>
    <cellStyle name="Normal 16 4 2 5 2" xfId="4511" xr:uid="{2DE11487-D727-42B6-BB1D-4DFF1D951A65}"/>
    <cellStyle name="Normal 16 4 2 6" xfId="3096" xr:uid="{FB92E637-2929-48E1-9A59-3EF1E57C101F}"/>
    <cellStyle name="Normal 16 4 2 7" xfId="5167" xr:uid="{1D4EEF32-795A-4948-8393-F353F296A604}"/>
    <cellStyle name="Normal 16 4 3" xfId="1778" xr:uid="{0ED42EBD-2B76-4AA3-97B7-E537F8B1E2FA}"/>
    <cellStyle name="Normal 16 4 3 2" xfId="2280" xr:uid="{E4CC65A5-917F-4CA6-A2B7-E372C99C1823}"/>
    <cellStyle name="Normal 16 4 3 2 2" xfId="2509" xr:uid="{D33FF183-3B56-4E9C-A422-065586D51D80}"/>
    <cellStyle name="Normal 16 4 3 2 2 2" xfId="6820" xr:uid="{7E59886C-FCCE-4D43-A93A-BC2DAA64BD53}"/>
    <cellStyle name="Normal 16 4 3 2 3" xfId="4554" xr:uid="{259C41B2-2DB8-4B73-9744-50E20AC6B112}"/>
    <cellStyle name="Normal 16 4 3 3" xfId="2414" xr:uid="{38F83510-2090-4D10-B602-6926482C876E}"/>
    <cellStyle name="Normal 16 4 3 3 2" xfId="4312" xr:uid="{B67353A3-DE8C-48EF-8A28-20B16B5F2E1B}"/>
    <cellStyle name="Normal 16 4 3 4" xfId="2873" xr:uid="{097A4917-6DEF-406A-85E0-60F48692A7E5}"/>
    <cellStyle name="Normal 16 4 3 4 2" xfId="6453" xr:uid="{3F02923A-79CC-4622-9152-B57AB20CDC30}"/>
    <cellStyle name="Normal 16 4 3 5" xfId="2149" xr:uid="{062ABEDE-910F-4545-AF4B-CD75F2B67CFA}"/>
    <cellStyle name="Normal 16 4 3 6" xfId="3146" xr:uid="{1314985D-BF37-4582-BE13-4086245C20D3}"/>
    <cellStyle name="Normal 16 4 3 7" xfId="5120" xr:uid="{31C2C446-8CB5-49D2-9E8F-BD7CF01157FA}"/>
    <cellStyle name="Normal 16 4 4" xfId="2243" xr:uid="{249C4B4C-54FC-4C86-B34E-C4650F6EBAEC}"/>
    <cellStyle name="Normal 16 4 4 2" xfId="2472" xr:uid="{80AA79B0-96EA-4FA4-862B-771A7EBFBF81}"/>
    <cellStyle name="Normal 16 4 4 2 2" xfId="4769" xr:uid="{C4796C18-2C23-4159-B49F-503F6F85349B}"/>
    <cellStyle name="Normal 16 4 4 3" xfId="3533" xr:uid="{568EBDAE-C78A-4FAC-8ABB-5EC571B7BBAA}"/>
    <cellStyle name="Normal 16 4 5" xfId="2375" xr:uid="{D8F195B0-FD63-4419-AD47-87227FD840C2}"/>
    <cellStyle name="Normal 16 4 5 2" xfId="3858" xr:uid="{278FD15F-0BD7-4886-A905-028318BFDD17}"/>
    <cellStyle name="Normal 16 4 6" xfId="2721" xr:uid="{D2AEEBC5-D229-42E6-90BC-EB7DFC7ECEDE}"/>
    <cellStyle name="Normal 16 4 6 2" xfId="4468" xr:uid="{F90F7F29-CC43-4B36-AC51-64CE8178C2F6}"/>
    <cellStyle name="Normal 16 4 7" xfId="2081" xr:uid="{6E113A56-4339-4E9F-9539-07982B9E196C}"/>
    <cellStyle name="Normal 16 4 7 2" xfId="4164" xr:uid="{973678B8-1335-47D9-A047-7387E481FC2C}"/>
    <cellStyle name="Normal 16 4 8" xfId="3042" xr:uid="{B34B723A-915D-488A-A4C0-EF709A9C0E03}"/>
    <cellStyle name="Normal 16 4 9" xfId="5362" xr:uid="{2572B3DE-C740-4143-93DF-1087848E0649}"/>
    <cellStyle name="Normal 16 4_NFS31" xfId="2117" xr:uid="{9801075F-A681-46F3-9CAC-62B188E76AD8}"/>
    <cellStyle name="Normal 16 5" xfId="1809" xr:uid="{7BF62689-60F1-4566-9EB9-61F2339B1E08}"/>
    <cellStyle name="Normal 16 5 2" xfId="1858" xr:uid="{5E812B76-298D-4C33-BA6F-21CEDEB36B1A}"/>
    <cellStyle name="Normal 16 5 2 2" xfId="2515" xr:uid="{B8762A79-49AB-4DEF-BBE8-7B5D71BFB1E0}"/>
    <cellStyle name="Normal 16 5 2 2 2" xfId="4575" xr:uid="{124EAA00-4DC8-446C-8F0D-AC5CE3D47163}"/>
    <cellStyle name="Normal 16 5 2 2 2 2" xfId="6878" xr:uid="{66C49C09-6CBF-4AF7-A89C-256BD1946BE2}"/>
    <cellStyle name="Normal 16 5 2 2 3" xfId="6328" xr:uid="{617A35D0-0924-493B-AA87-FA772B40CBE0}"/>
    <cellStyle name="Normal 16 5 2 3" xfId="2945" xr:uid="{89BDFA7B-ED9C-4A69-B6B9-408168B454C9}"/>
    <cellStyle name="Normal 16 5 2 3 2" xfId="4365" xr:uid="{0C49B087-C9CB-4215-B454-517F64CA8D95}"/>
    <cellStyle name="Normal 16 5 2 4" xfId="2286" xr:uid="{5142931C-2FE7-4BD7-B703-BAFA5BD0CD40}"/>
    <cellStyle name="Normal 16 5 2 4 2" xfId="6506" xr:uid="{B167525F-93D9-4C17-81B1-221E1AC246CA}"/>
    <cellStyle name="Normal 16 5 2 5" xfId="3167" xr:uid="{C7F8F6A1-9957-4494-A842-FDB2605D68C9}"/>
    <cellStyle name="Normal 16 5 2 6" xfId="5183" xr:uid="{D7FECA28-00FE-4D81-B437-CB13EF70CA67}"/>
    <cellStyle name="Normal 16 5 3" xfId="2420" xr:uid="{199DB48B-09AC-4397-98CB-3E8057F2EB86}"/>
    <cellStyle name="Normal 16 5 3 2" xfId="4791" xr:uid="{B51542BC-2FF9-493A-BC59-41434AF5B778}"/>
    <cellStyle name="Normal 16 5 3 2 2" xfId="6835" xr:uid="{E3685176-3D7A-4A9D-B14A-334A8B35FC00}"/>
    <cellStyle name="Normal 16 5 3 3" xfId="3564" xr:uid="{088C9774-46D8-4C70-A559-FD4A3DE982C9}"/>
    <cellStyle name="Normal 16 5 4" xfId="2897" xr:uid="{A199D3C1-2E4E-4DEF-B065-2318EDA05923}"/>
    <cellStyle name="Normal 16 5 4 2" xfId="3880" xr:uid="{F0D13F11-7A3F-440A-86BF-B9A897C3F193}"/>
    <cellStyle name="Normal 16 5 5" xfId="2159" xr:uid="{DEE5A456-8FE6-4534-905F-0D72328919A8}"/>
    <cellStyle name="Normal 16 5 5 2" xfId="4488" xr:uid="{5951FCD9-BF98-4CD1-962C-76C9BC2A1653}"/>
    <cellStyle name="Normal 16 5 6" xfId="3066" xr:uid="{8731865F-FE6D-4003-B656-7A3CE3A5BE4A}"/>
    <cellStyle name="Normal 16 5 7" xfId="5136" xr:uid="{DBA13127-D6E8-4648-BFC7-7551AD2B86B2}"/>
    <cellStyle name="Normal 16 6" xfId="1826" xr:uid="{71E0AD35-AC18-4E4B-A656-A680C747D337}"/>
    <cellStyle name="Normal 16 6 2" xfId="2264" xr:uid="{10C1F045-DA58-424B-A35E-9F6F90AEDF46}"/>
    <cellStyle name="Normal 16 6 2 2" xfId="2493" xr:uid="{99517507-2439-47EB-8535-47732BF8C99D}"/>
    <cellStyle name="Normal 16 6 2 2 2" xfId="4578" xr:uid="{2598E57E-99A7-4F46-B573-B9CA4F910E30}"/>
    <cellStyle name="Normal 16 6 2 3" xfId="3170" xr:uid="{19537759-DE9D-4BFD-B063-141676356DE9}"/>
    <cellStyle name="Normal 16 6 3" xfId="2397" xr:uid="{4881EEDF-4263-44B0-8221-8BBADA401D46}"/>
    <cellStyle name="Normal 16 6 3 2" xfId="4797" xr:uid="{3E0BAE7D-0D66-4C5D-88D5-BF0574064683}"/>
    <cellStyle name="Normal 16 6 3 3" xfId="3574" xr:uid="{CA9471A4-DCCC-47D7-A0EF-95EE8E7090DA}"/>
    <cellStyle name="Normal 16 6 4" xfId="2914" xr:uid="{39988A49-E225-43C8-9F5C-FFC229A3CBCB}"/>
    <cellStyle name="Normal 16 6 4 2" xfId="3885" xr:uid="{C04ADBFA-892A-4E8F-817E-E7C9E98D73F9}"/>
    <cellStyle name="Normal 16 6 5" xfId="2124" xr:uid="{9375A03C-6EC6-4183-972F-3B903D9450C1}"/>
    <cellStyle name="Normal 16 6 5 2" xfId="4496" xr:uid="{8CF58B4F-4E21-48A3-B565-9ED436A5BB24}"/>
    <cellStyle name="Normal 16 6 6" xfId="3073" xr:uid="{DA68F46F-ECE4-4C25-B9C5-5CCA52AAC366}"/>
    <cellStyle name="Normal 16 6 7" xfId="5152" xr:uid="{4A17ECD3-326E-4AF2-81D4-62723EB661C9}"/>
    <cellStyle name="Normal 16 7" xfId="1704" xr:uid="{28143279-9326-4FAF-91BF-AC9D0AE8ED62}"/>
    <cellStyle name="Normal 16 7 2" xfId="2451" xr:uid="{A4C8E291-C15B-433C-9196-D6A399875FBA}"/>
    <cellStyle name="Normal 16 7 2 2" xfId="4532" xr:uid="{5F278D07-3D18-4E26-B1F9-3DE2CB4958F1}"/>
    <cellStyle name="Normal 16 7 2 2 2" xfId="6805" xr:uid="{68517F6A-3A4E-48CC-B410-601D226CCF43}"/>
    <cellStyle name="Normal 16 7 2 3" xfId="6266" xr:uid="{497FE2D6-FBCF-4E59-92F6-FEF05C5F5A2A}"/>
    <cellStyle name="Normal 16 7 3" xfId="2837" xr:uid="{A0B34720-7274-4759-855C-2B3B950FB178}"/>
    <cellStyle name="Normal 16 7 3 2" xfId="4283" xr:uid="{619D8D7B-5CA3-4E0E-91B9-1987B2DE17C2}"/>
    <cellStyle name="Normal 16 7 4" xfId="2217" xr:uid="{53AE35C1-E89D-409E-896D-5CA91E6DB024}"/>
    <cellStyle name="Normal 16 7 4 2" xfId="6438" xr:uid="{B6FF9376-A956-44AD-B581-3395F8508BEC}"/>
    <cellStyle name="Normal 16 7 5" xfId="3124" xr:uid="{778BC7DE-464A-4CFE-9DE3-A79A2C8851F9}"/>
    <cellStyle name="Normal 16 7 6" xfId="5105" xr:uid="{96DC809B-9AB8-4670-ADA7-2507CA6BEC7A}"/>
    <cellStyle name="Normal 16 8" xfId="1880" xr:uid="{42769826-CBDF-46B6-9FE8-DBE7CD80A3F5}"/>
    <cellStyle name="Normal 16 8 2" xfId="1936" xr:uid="{92795D20-139B-43C8-AE26-B9B856011A1B}"/>
    <cellStyle name="Normal 16 8 2 2" xfId="2544" xr:uid="{042270C6-9284-40B1-8FF4-8CAF27C30FA9}"/>
    <cellStyle name="Normal 16 8 2 3" xfId="4426" xr:uid="{8E41215B-BAC7-452D-BFEA-EC29B6501B4B}"/>
    <cellStyle name="Normal 16 8 2 4" xfId="5244" xr:uid="{50FAEC83-5F07-4566-A02A-6520813B5807}"/>
    <cellStyle name="Normal 16 8 3" xfId="2964" xr:uid="{6734AC33-5623-4F85-B5A4-5F9AAE601BB0}"/>
    <cellStyle name="Normal 16 8 3 2" xfId="4626" xr:uid="{7022332E-BF19-4396-8FB4-3C579E536E3A}"/>
    <cellStyle name="Normal 16 8 4" xfId="2325" xr:uid="{47837314-12B5-4CD8-B556-94C4BB8D0655}"/>
    <cellStyle name="Normal 16 8 4 2" xfId="4385" xr:uid="{88DB7DAE-7FFF-4821-9457-23732E6A4014}"/>
    <cellStyle name="Normal 16 8 5" xfId="3218" xr:uid="{074F0085-7DBD-4818-A305-31C3DCB66E07}"/>
    <cellStyle name="Normal 16 8 6" xfId="5201" xr:uid="{76F7A66D-1F29-49F6-B140-E658FFF25254}"/>
    <cellStyle name="Normal 16 9" xfId="1888" xr:uid="{711A73BA-2D89-44EA-8AA3-788BCF8F1007}"/>
    <cellStyle name="Normal 16 9 2" xfId="2968" xr:uid="{51A31226-6D13-4A0E-88D2-9B796F8DC9E7}"/>
    <cellStyle name="Normal 16 9 2 2" xfId="4709" xr:uid="{1A745156-1AB2-4B2A-8285-5AD4EB4937BF}"/>
    <cellStyle name="Normal 16 9 3" xfId="2352" xr:uid="{24C7918B-F0CD-4D4B-88CD-B7F2639AF47C}"/>
    <cellStyle name="Normal 16 9 3 2" xfId="4389" xr:uid="{187819AC-75B8-4D85-B57F-A8580F70DA8C}"/>
    <cellStyle name="Normal 16 9 4" xfId="3316" xr:uid="{BC10BF0D-4C85-467A-ACBB-A6257548537B}"/>
    <cellStyle name="Normal 16 9 5" xfId="5205" xr:uid="{7A91A1F4-842F-4863-BE57-F202FD54CEA3}"/>
    <cellStyle name="Normal 16_NFS31" xfId="2112" xr:uid="{02CA1C40-DE60-4B3B-970E-7F61E393EDEE}"/>
    <cellStyle name="Normal 17" xfId="176" xr:uid="{7606C8E0-6154-4537-8C6F-DD35A3DDD74A}"/>
    <cellStyle name="Normal 17 10" xfId="4429" xr:uid="{99B5E7CE-230A-4631-82CD-A373C51F9581}"/>
    <cellStyle name="Normal 17 10 2" xfId="6344" xr:uid="{24C75F90-DD24-448E-B8AA-C9218B53E49F}"/>
    <cellStyle name="Normal 17 11" xfId="3016" xr:uid="{C233A72D-A639-43F1-B6E6-62FEC3579317}"/>
    <cellStyle name="Normal 17 12" xfId="5003" xr:uid="{80478355-E3CF-4C51-B0B3-C717E16CAAFE}"/>
    <cellStyle name="Normal 17 13" xfId="5268" xr:uid="{CD188039-E319-4BC1-989B-5E5E87996C43}"/>
    <cellStyle name="Normal 17 14" xfId="830" xr:uid="{0EE29B16-522D-41AF-A1F1-086216FE3AB9}"/>
    <cellStyle name="Normal 17 15" xfId="7084" xr:uid="{5F8ECB2C-E554-4D6A-87ED-7876EFF64BB2}"/>
    <cellStyle name="Normal 17 16" xfId="7169" xr:uid="{868E739D-C8F0-462E-BD3C-A165ECA31FB0}"/>
    <cellStyle name="Normal 17 2" xfId="355" xr:uid="{FEF2D899-832B-4D30-BBE9-FF4FCF1CB5FB}"/>
    <cellStyle name="Normal 17 2 10" xfId="5020" xr:uid="{B8D4F3CC-EDDD-4C63-8851-99B272E7BFD3}"/>
    <cellStyle name="Normal 17 2 11" xfId="5335" xr:uid="{46F0A03B-F737-431F-80E3-11FD0B1EEE01}"/>
    <cellStyle name="Normal 17 2 12" xfId="1077" xr:uid="{F085319E-1222-463D-99D0-30358154DB66}"/>
    <cellStyle name="Normal 17 2 2" xfId="1535" xr:uid="{56D6B945-4A1C-4476-813D-C2BEAEAB4E5D}"/>
    <cellStyle name="Normal 17 2 2 2" xfId="1847" xr:uid="{4CDC0BB2-2A91-4364-9228-8506181E02F8}"/>
    <cellStyle name="Normal 17 2 2 2 2" xfId="2522" xr:uid="{5CD069BB-952B-487C-A76A-04FA04DDCEC2}"/>
    <cellStyle name="Normal 17 2 2 2 2 2" xfId="4602" xr:uid="{EF4FD52D-7C91-45D0-B86F-616FDB922EE7}"/>
    <cellStyle name="Normal 17 2 2 2 2 2 2" xfId="6868" xr:uid="{3EE33E1F-B297-4CC7-A4A1-0FC42E62385F}"/>
    <cellStyle name="Normal 17 2 2 2 2 3" xfId="3194" xr:uid="{40AF5BCB-94A8-4996-A760-3E17932C5C92}"/>
    <cellStyle name="Normal 17 2 2 2 3" xfId="2934" xr:uid="{B7A1C597-7F62-44FE-AEB8-91706457C26E}"/>
    <cellStyle name="Normal 17 2 2 2 3 2" xfId="4822" xr:uid="{BE6E372D-846C-48FB-8839-31F418D19BFD}"/>
    <cellStyle name="Normal 17 2 2 2 3 3" xfId="3601" xr:uid="{A1A583E5-AEE7-4575-A316-2FFEDF701F48}"/>
    <cellStyle name="Normal 17 2 2 2 4" xfId="2293" xr:uid="{0D68BDFE-D392-41BC-9C6E-3A4B9EFCAC92}"/>
    <cellStyle name="Normal 17 2 2 2 4 2" xfId="3909" xr:uid="{783CE8B3-490A-439C-821F-C8F3BD85740B}"/>
    <cellStyle name="Normal 17 2 2 2 5" xfId="4514" xr:uid="{68885BAC-FFBC-432C-98B2-15BA817ADC8C}"/>
    <cellStyle name="Normal 17 2 2 2 6" xfId="3099" xr:uid="{14F5553A-362D-49CF-ADCD-1EA4B43D2239}"/>
    <cellStyle name="Normal 17 2 2 2 7" xfId="5172" xr:uid="{2FDC9344-85BD-45CE-95EC-1B8B79C95718}"/>
    <cellStyle name="Normal 17 2 2 3" xfId="1794" xr:uid="{5C7E5CEC-FE6F-4CF4-9CB0-BA47B5B1D385}"/>
    <cellStyle name="Normal 17 2 2 3 2" xfId="2885" xr:uid="{2012DA9D-EA53-45EB-91BB-551BD93F7143}"/>
    <cellStyle name="Normal 17 2 2 3 2 2" xfId="4557" xr:uid="{8612D68D-BB72-4212-BD7C-9BD45238604D}"/>
    <cellStyle name="Normal 17 2 2 3 2 2 2" xfId="6825" xr:uid="{019E7C6F-3367-447C-8931-BEEDAE785E86}"/>
    <cellStyle name="Normal 17 2 2 3 2 3" xfId="6284" xr:uid="{860FE7B5-C8BB-4841-B8B1-F3C67F6DE8DD}"/>
    <cellStyle name="Normal 17 2 2 3 3" xfId="2427" xr:uid="{60AEFA04-0B33-43BE-9D46-933082BBEDA1}"/>
    <cellStyle name="Normal 17 2 2 3 3 2" xfId="4321" xr:uid="{E3851DB6-B1A1-4A22-9E8B-0AA5A664DCC6}"/>
    <cellStyle name="Normal 17 2 2 3 4" xfId="3149" xr:uid="{ACE29039-578C-4E07-82C7-BB6DF9027A43}"/>
    <cellStyle name="Normal 17 2 2 3 4 2" xfId="6458" xr:uid="{7AE13234-5983-44F1-90EE-39E74B1CBD0D}"/>
    <cellStyle name="Normal 17 2 2 3 5" xfId="5125" xr:uid="{0A85E8F6-F2EE-4BEE-AC9A-8891650DF458}"/>
    <cellStyle name="Normal 17 2 2 4" xfId="2740" xr:uid="{2EF984F1-8FC8-469C-9062-9ED706FD01FE}"/>
    <cellStyle name="Normal 17 2 2 4 2" xfId="4772" xr:uid="{FF65AF19-A2C2-462D-AED5-844D8B26DF07}"/>
    <cellStyle name="Normal 17 2 2 4 3" xfId="3539" xr:uid="{AC7E4F0A-EBF0-45C7-BA43-7823C2B17135}"/>
    <cellStyle name="Normal 17 2 2 5" xfId="2166" xr:uid="{ADC6B34D-748D-4837-B41E-0E03456CDDBD}"/>
    <cellStyle name="Normal 17 2 2 5 2" xfId="3861" xr:uid="{87AFCA38-A4AF-434A-AC24-37FFC1F60F24}"/>
    <cellStyle name="Normal 17 2 2 6" xfId="4471" xr:uid="{FE2EC415-D049-4A0C-AC22-0D5FBC8FE044}"/>
    <cellStyle name="Normal 17 2 2 7" xfId="4193" xr:uid="{1E43CAA6-3884-4872-B51D-99008A562B19}"/>
    <cellStyle name="Normal 17 2 2 8" xfId="3045" xr:uid="{986AFF18-750A-4496-A9B6-5E1294A4F529}"/>
    <cellStyle name="Normal 17 2 2 9" xfId="5393" xr:uid="{A82A248E-DF7B-4856-9749-802005FBADF6}"/>
    <cellStyle name="Normal 17 2 3" xfId="1493" xr:uid="{D26E5916-D895-44FB-8D1A-17C274C06670}"/>
    <cellStyle name="Normal 17 2 3 2" xfId="1863" xr:uid="{D2CD660F-AB78-4FF0-A61F-3A9464F045EF}"/>
    <cellStyle name="Normal 17 2 3 2 2" xfId="2502" xr:uid="{A0CEE320-5B37-4A0A-A082-4D252359BF38}"/>
    <cellStyle name="Normal 17 2 3 2 2 2" xfId="4581" xr:uid="{8D4050D9-CD90-4ECD-BDCD-E00817AC49B6}"/>
    <cellStyle name="Normal 17 2 3 2 2 2 2" xfId="6883" xr:uid="{BB8D1EF8-6AD8-4BC3-80A2-D94AA62D684F}"/>
    <cellStyle name="Normal 17 2 3 2 2 3" xfId="6333" xr:uid="{BE26AC9A-0A02-40A5-AC4D-DE95458678C9}"/>
    <cellStyle name="Normal 17 2 3 2 3" xfId="2950" xr:uid="{4A0C561D-76F5-4F38-85EE-9952328FBB22}"/>
    <cellStyle name="Normal 17 2 3 2 3 2" xfId="4370" xr:uid="{58CD03DA-0282-44F3-8358-B69CCFAAB4A6}"/>
    <cellStyle name="Normal 17 2 3 2 4" xfId="2273" xr:uid="{C71E89BF-BF87-475E-BD79-51F87DEBE70B}"/>
    <cellStyle name="Normal 17 2 3 2 4 2" xfId="6511" xr:uid="{FD42976D-B184-4C80-ACE8-7E86D0693524}"/>
    <cellStyle name="Normal 17 2 3 2 5" xfId="3173" xr:uid="{E3CC346E-B79B-4BB1-BA91-537275903BF6}"/>
    <cellStyle name="Normal 17 2 3 2 6" xfId="5188" xr:uid="{DDC93812-08C0-4DC0-9F62-B7D3C2126130}"/>
    <cellStyle name="Normal 17 2 3 3" xfId="1814" xr:uid="{2532820C-5900-4F99-8CB9-B65BAD84CE45}"/>
    <cellStyle name="Normal 17 2 3 3 2" xfId="2902" xr:uid="{F938117C-31D7-4229-9C0B-9F4DDAE31BA4}"/>
    <cellStyle name="Normal 17 2 3 3 2 2" xfId="4801" xr:uid="{ACEFF232-86C8-4603-BD8A-5420E544B894}"/>
    <cellStyle name="Normal 17 2 3 3 2 2 2" xfId="6840" xr:uid="{0C006E98-9D52-475B-A500-9CE7D10BCC8E}"/>
    <cellStyle name="Normal 17 2 3 3 2 3" xfId="6296" xr:uid="{BD3FC6F5-B51F-4DA5-8FB5-4E89201A8352}"/>
    <cellStyle name="Normal 17 2 3 3 3" xfId="2407" xr:uid="{61E00563-075C-42E8-8292-B5E31EFD62CB}"/>
    <cellStyle name="Normal 17 2 3 3 3 2" xfId="4333" xr:uid="{9374C998-8AFB-4CB0-9927-684467139E5B}"/>
    <cellStyle name="Normal 17 2 3 3 4" xfId="3580" xr:uid="{2F265ACD-ED75-4182-9DE8-10F659713B56}"/>
    <cellStyle name="Normal 17 2 3 3 4 2" xfId="6471" xr:uid="{E3A2199D-E15B-438C-B640-5CA019F1A311}"/>
    <cellStyle name="Normal 17 2 3 3 5" xfId="5141" xr:uid="{89C90D65-B748-4901-AE4E-B18868814B58}"/>
    <cellStyle name="Normal 17 2 3 4" xfId="2729" xr:uid="{3BFF686D-6AFF-476D-9C26-679EF7C922AF}"/>
    <cellStyle name="Normal 17 2 3 4 2" xfId="3888" xr:uid="{B048605B-EF8F-414A-8F31-B3476592FEAE}"/>
    <cellStyle name="Normal 17 2 3 5" xfId="2140" xr:uid="{3CE265F0-EAF1-43A7-BA3C-F15CAA6AED31}"/>
    <cellStyle name="Normal 17 2 3 5 2" xfId="4501" xr:uid="{0EF7444B-09A8-42CE-86C0-64CB2ECBA7BE}"/>
    <cellStyle name="Normal 17 2 3 6" xfId="4177" xr:uid="{A72C8E78-906E-4C91-A2FD-4B8223DB5594}"/>
    <cellStyle name="Normal 17 2 3 7" xfId="3078" xr:uid="{31F54BA8-100F-433B-8972-F1101027BF89}"/>
    <cellStyle name="Normal 17 2 4" xfId="1831" xr:uid="{74AE978D-2F80-4D5F-80C5-91ABC177F0C2}"/>
    <cellStyle name="Normal 17 2 4 2" xfId="2473" xr:uid="{A2140CB6-680D-416E-9C26-DB12E21B2251}"/>
    <cellStyle name="Normal 17 2 4 2 2" xfId="4536" xr:uid="{100D9E87-C025-477C-86EA-118A440F11BE}"/>
    <cellStyle name="Normal 17 2 4 2 2 2" xfId="6855" xr:uid="{5331AA47-684B-455F-984A-FEA635E712E3}"/>
    <cellStyle name="Normal 17 2 4 2 3" xfId="6308" xr:uid="{81B4E55E-140C-45B2-8CC6-C5B70265582C}"/>
    <cellStyle name="Normal 17 2 4 3" xfId="2919" xr:uid="{B2853C33-2E38-4391-BFFC-262A7E04CECF}"/>
    <cellStyle name="Normal 17 2 4 3 2" xfId="4345" xr:uid="{15FD02DF-6760-4BF7-9C1A-9BE3D2B838E8}"/>
    <cellStyle name="Normal 17 2 4 4" xfId="2244" xr:uid="{A8239F6D-E59C-46BF-9A29-75AE75ECD953}"/>
    <cellStyle name="Normal 17 2 4 4 2" xfId="6485" xr:uid="{A514A60C-88B0-46CD-A5B5-810B5BAE2617}"/>
    <cellStyle name="Normal 17 2 4 5" xfId="3128" xr:uid="{D33613AA-DFDA-4A71-AFAE-6A99803F59DB}"/>
    <cellStyle name="Normal 17 2 4 6" xfId="5157" xr:uid="{A11CC962-A111-4BA1-BE99-FD1C099033D6}"/>
    <cellStyle name="Normal 17 2 5" xfId="1744" xr:uid="{F5DB8B64-6F94-42F5-8C10-F1B4FC8141BD}"/>
    <cellStyle name="Normal 17 2 5 2" xfId="2856" xr:uid="{80F5EC4E-93A8-4470-800D-D9FB490A911A}"/>
    <cellStyle name="Normal 17 2 5 2 2" xfId="4732" xr:uid="{A2EF2CBA-67B0-4C61-8927-24CBD4C9DF02}"/>
    <cellStyle name="Normal 17 2 5 2 2 2" xfId="6810" xr:uid="{0E625F65-F58D-472F-BDB9-85F3EF18CD98}"/>
    <cellStyle name="Normal 17 2 5 2 3" xfId="6271" xr:uid="{8D02CE2C-ACAB-4118-A55B-6A1D2B16B21A}"/>
    <cellStyle name="Normal 17 2 5 3" xfId="2376" xr:uid="{C6A34741-6128-461F-ACFA-BA8ECCB480DF}"/>
    <cellStyle name="Normal 17 2 5 3 2" xfId="4296" xr:uid="{9CF31AC5-7FEC-490D-A810-23B06DE6DDFC}"/>
    <cellStyle name="Normal 17 2 5 4" xfId="3433" xr:uid="{CE7B4313-FE5C-4F65-B900-736B37068CF7}"/>
    <cellStyle name="Normal 17 2 5 4 2" xfId="6443" xr:uid="{EDC0C95B-B8CB-4699-9693-4F4E1367F3B4}"/>
    <cellStyle name="Normal 17 2 5 5" xfId="5110" xr:uid="{A176C9C2-300F-44B1-A712-7E23A32CCF38}"/>
    <cellStyle name="Normal 17 2 6" xfId="1909" xr:uid="{32FCCDE7-D33D-42FF-8A10-563E22FBA52A}"/>
    <cellStyle name="Normal 17 2 6 2" xfId="2986" xr:uid="{715EA7B8-ED48-4AC3-82C7-777E23BA2536}"/>
    <cellStyle name="Normal 17 2 6 2 2" xfId="4937" xr:uid="{BA88CA36-20E8-48F6-B82E-DBE280737550}"/>
    <cellStyle name="Normal 17 2 6 3" xfId="3840" xr:uid="{19FFE85E-5B9A-47F9-B413-4661EB53D17E}"/>
    <cellStyle name="Normal 17 2 6 3 2" xfId="6540" xr:uid="{641D0258-4B90-47C1-A78A-F51A3AF0F647}"/>
    <cellStyle name="Normal 17 2 6 4" xfId="5223" xr:uid="{14C880A1-40C0-4B8D-9981-8F1A3957E9B5}"/>
    <cellStyle name="Normal 17 2 7" xfId="2630" xr:uid="{D908D725-B27B-4E50-AA12-EFBB28A2B00B}"/>
    <cellStyle name="Normal 17 2 7 2" xfId="4436" xr:uid="{30B6ED32-D4DC-4492-96F0-DF862F802B9E}"/>
    <cellStyle name="Normal 17 2 8" xfId="2082" xr:uid="{8048050B-40E8-4FB5-95C1-C8799F0E3B5C}"/>
    <cellStyle name="Normal 17 2 8 2" xfId="6359" xr:uid="{F4CB0030-3400-407E-886A-9DEE04950464}"/>
    <cellStyle name="Normal 17 2 9" xfId="3022" xr:uid="{DFF9CE97-2539-4821-A745-5ACC10788BC0}"/>
    <cellStyle name="Normal 17 2_NFS31" xfId="2120" xr:uid="{C5CE5D4E-673C-4B61-B3CD-0FF9F2B07D61}"/>
    <cellStyle name="Normal 17 3" xfId="1155" xr:uid="{7B016133-3BD2-4206-B2F4-A0FA1C1B9A4C}"/>
    <cellStyle name="Normal 17 3 10" xfId="5363" xr:uid="{7F3B8D73-1C6C-43AF-913D-D659F45D1FA6}"/>
    <cellStyle name="Normal 17 3 2" xfId="1520" xr:uid="{C94C03C1-291E-440E-9D0B-C72D0566E531}"/>
    <cellStyle name="Normal 17 3 2 2" xfId="1850" xr:uid="{5BE24C18-9F9C-4B06-8AFA-200D4100FC94}"/>
    <cellStyle name="Normal 17 3 2 2 2" xfId="2937" xr:uid="{2C824A2E-8522-4373-8EF9-2A5E3ED85D1A}"/>
    <cellStyle name="Normal 17 3 2 2 2 2" xfId="4600" xr:uid="{01CC457E-96B0-443C-A32E-23E13716E9E4}"/>
    <cellStyle name="Normal 17 3 2 2 2 2 2" xfId="6870" xr:uid="{782E8144-CAF4-45FC-B38F-A2668A8D47D7}"/>
    <cellStyle name="Normal 17 3 2 2 2 3" xfId="6322" xr:uid="{836B25A2-0109-409F-BCE8-3F23B90C8C68}"/>
    <cellStyle name="Normal 17 3 2 2 3" xfId="2516" xr:uid="{A0815124-15B5-498E-8E4A-92B0D522E41D}"/>
    <cellStyle name="Normal 17 3 2 2 3 2" xfId="4359" xr:uid="{6DB4A0F5-DD99-4881-BB21-ACF055CEDD57}"/>
    <cellStyle name="Normal 17 3 2 2 4" xfId="3192" xr:uid="{68F6431D-580D-4B74-A09E-0168C25349E4}"/>
    <cellStyle name="Normal 17 3 2 2 4 2" xfId="6499" xr:uid="{24FE103B-DCE4-44FD-AA92-B77E9852A650}"/>
    <cellStyle name="Normal 17 3 2 2 5" xfId="5175" xr:uid="{9E41831D-302A-4710-AEDD-93A62785212A}"/>
    <cellStyle name="Normal 17 3 2 3" xfId="1800" xr:uid="{048D4BC0-45D9-4EA2-AA60-29FBCB2607FC}"/>
    <cellStyle name="Normal 17 3 2 3 2" xfId="2889" xr:uid="{9CF37769-31C5-4B6C-98E4-CD9631C85422}"/>
    <cellStyle name="Normal 17 3 2 3 2 2" xfId="4820" xr:uid="{4AA81CEC-2CAB-4306-8220-4FC350F0119A}"/>
    <cellStyle name="Normal 17 3 2 3 2 2 2" xfId="6827" xr:uid="{D051C4D6-21AF-408D-BFE9-619233B97322}"/>
    <cellStyle name="Normal 17 3 2 3 2 3" xfId="6286" xr:uid="{11BA7DBE-C7D1-43AC-8D0D-360467FC72D1}"/>
    <cellStyle name="Normal 17 3 2 3 3" xfId="4323" xr:uid="{5B5F1A70-AA30-45C1-8DA4-49A260C53543}"/>
    <cellStyle name="Normal 17 3 2 3 3 2" xfId="6656" xr:uid="{D7EE919F-27AB-40E9-939A-DFDDF84C157A}"/>
    <cellStyle name="Normal 17 3 2 3 4" xfId="3599" xr:uid="{F30771B6-257C-449E-90DF-5CFCE64E1677}"/>
    <cellStyle name="Normal 17 3 2 3 4 2" xfId="6460" xr:uid="{E2BE7183-6E9D-40AF-9ED7-1E08247C5E5E}"/>
    <cellStyle name="Normal 17 3 2 3 5" xfId="5128" xr:uid="{56F0B3CE-568A-4B8A-9A25-5C248DF0AC8D}"/>
    <cellStyle name="Normal 17 3 2 4" xfId="2738" xr:uid="{B2B5D26A-90B4-4B72-BFD0-220A1DA720FB}"/>
    <cellStyle name="Normal 17 3 2 4 2" xfId="3907" xr:uid="{B3ACA531-70F6-4EFC-8904-B27CDC2F4C23}"/>
    <cellStyle name="Normal 17 3 2 5" xfId="2287" xr:uid="{34C7982C-786E-4130-891A-C9DDB0A00C25}"/>
    <cellStyle name="Normal 17 3 2 5 2" xfId="4512" xr:uid="{786A86C7-77CC-4F97-B94A-4EF88279A490}"/>
    <cellStyle name="Normal 17 3 2 6" xfId="4187" xr:uid="{2219D3B2-01D0-425B-878C-F0B488191B72}"/>
    <cellStyle name="Normal 17 3 2 7" xfId="3097" xr:uid="{D7FA4187-3244-429F-A1F3-81BF5FE90615}"/>
    <cellStyle name="Normal 17 3 3" xfId="1817" xr:uid="{81963D9E-0EB7-4682-B285-AD9E81100A9A}"/>
    <cellStyle name="Normal 17 3 3 2" xfId="1866" xr:uid="{821C8907-B5F0-48B1-AC7F-1C540B781B62}"/>
    <cellStyle name="Normal 17 3 3 2 2" xfId="2953" xr:uid="{6EA35C6E-C897-4CBE-9250-B7DB9032CC3D}"/>
    <cellStyle name="Normal 17 3 3 2 2 2" xfId="5847" xr:uid="{31CE4C6D-F02B-4671-8DF6-CE1A9213A317}"/>
    <cellStyle name="Normal 17 3 3 2 2 2 2" xfId="6886" xr:uid="{70402D05-0769-45E7-91FC-190821439D2F}"/>
    <cellStyle name="Normal 17 3 3 2 2 3" xfId="6336" xr:uid="{ED10DF2E-DE96-47D7-B12A-9E74819057F6}"/>
    <cellStyle name="Normal 17 3 3 2 3" xfId="4373" xr:uid="{A3EB17CC-8708-4A5F-A286-BAA332455503}"/>
    <cellStyle name="Normal 17 3 3 2 3 2" xfId="6686" xr:uid="{0A7A2318-D9A6-4566-8C34-0002AEBC52E5}"/>
    <cellStyle name="Normal 17 3 3 2 4" xfId="5191" xr:uid="{8CD7873E-C44A-41B8-96F1-737EE50CF295}"/>
    <cellStyle name="Normal 17 3 3 2 4 2" xfId="6514" xr:uid="{6BAB06DD-BA86-4B30-A8B5-B164E1801A59}"/>
    <cellStyle name="Normal 17 3 3 2 5" xfId="6167" xr:uid="{43E671FB-68C8-4C28-9B93-D125BC5904A9}"/>
    <cellStyle name="Normal 17 3 3 3" xfId="2905" xr:uid="{70BD0B37-65AB-4119-B015-2780E5582C98}"/>
    <cellStyle name="Normal 17 3 3 3 2" xfId="4555" xr:uid="{08C455BA-BB44-4443-82F0-A88767FC0D08}"/>
    <cellStyle name="Normal 17 3 3 3 2 2" xfId="6843" xr:uid="{2B838143-A714-40D8-A248-3C97811A796F}"/>
    <cellStyle name="Normal 17 3 3 3 3" xfId="6298" xr:uid="{1E0FD79A-ED98-44C0-AD0D-9A983C8ED4C9}"/>
    <cellStyle name="Normal 17 3 3 4" xfId="2421" xr:uid="{CB37ECAD-CABE-40A3-B6D4-9C05A32A21DC}"/>
    <cellStyle name="Normal 17 3 3 4 2" xfId="4335" xr:uid="{13DC36DA-2B14-446E-A6AB-E4F92564CA9C}"/>
    <cellStyle name="Normal 17 3 3 5" xfId="3147" xr:uid="{0DA3BA24-9320-4EE8-9B67-2A141F1929A2}"/>
    <cellStyle name="Normal 17 3 3 5 2" xfId="6473" xr:uid="{BBFB785E-4F7B-4280-8741-82DE63582384}"/>
    <cellStyle name="Normal 17 3 3 6" xfId="5144" xr:uid="{BB5A4F2A-348C-43D7-82DA-46C5AD3F4EA3}"/>
    <cellStyle name="Normal 17 3 4" xfId="1834" xr:uid="{E2924C8C-551D-4088-A46D-874F692BD5FB}"/>
    <cellStyle name="Normal 17 3 4 2" xfId="2922" xr:uid="{D30B73CC-5116-4B74-B0C8-B6A43AD6B3A2}"/>
    <cellStyle name="Normal 17 3 4 2 2" xfId="4770" xr:uid="{6FF3347A-7304-4553-AA26-936BEA15F082}"/>
    <cellStyle name="Normal 17 3 4 2 2 2" xfId="6858" xr:uid="{BEDC7F8A-5B98-4F0D-B81D-7E9F6EFF9C58}"/>
    <cellStyle name="Normal 17 3 4 2 3" xfId="6311" xr:uid="{507F0538-B394-4172-A93F-C609E55FA71C}"/>
    <cellStyle name="Normal 17 3 4 3" xfId="4348" xr:uid="{E85599F4-4DFE-4DA4-AA8F-C3E502B2EE7B}"/>
    <cellStyle name="Normal 17 3 4 3 2" xfId="6670" xr:uid="{A065D710-1E29-4E5A-8D3F-6D27AA90154B}"/>
    <cellStyle name="Normal 17 3 4 4" xfId="3534" xr:uid="{80D9306D-181D-4B46-A0F1-8CA5F5299EE0}"/>
    <cellStyle name="Normal 17 3 4 4 2" xfId="6488" xr:uid="{B61A9A0D-47A4-4CA0-BB12-2D3F25537C06}"/>
    <cellStyle name="Normal 17 3 4 5" xfId="5160" xr:uid="{F6AA2471-5652-46F4-929A-5076458032A4}"/>
    <cellStyle name="Normal 17 3 5" xfId="1765" xr:uid="{2D4A864C-198A-48D5-9B20-C8B5349C6708}"/>
    <cellStyle name="Normal 17 3 5 2" xfId="2863" xr:uid="{273ABBAE-44D7-4165-81BA-68DE5AA109DF}"/>
    <cellStyle name="Normal 17 3 5 2 2" xfId="4945" xr:uid="{BACE8113-EC89-4329-90BD-B3CC8B0470E3}"/>
    <cellStyle name="Normal 17 3 5 2 2 2" xfId="6813" xr:uid="{5627BE3F-E02E-4A9C-A657-008A6CEB39F2}"/>
    <cellStyle name="Normal 17 3 5 2 3" xfId="6274" xr:uid="{8A42C1E3-18A6-4EED-BDAD-42EE2D09F041}"/>
    <cellStyle name="Normal 17 3 5 3" xfId="3859" xr:uid="{CF2A038D-CCE5-4141-9CC1-3A0B74A0CE25}"/>
    <cellStyle name="Normal 17 3 5 3 2" xfId="6647" xr:uid="{A9FD3E67-B91B-48B4-8199-50ADC3CE9C53}"/>
    <cellStyle name="Normal 17 3 5 4" xfId="5113" xr:uid="{ECF650D7-5B9F-4D39-96FF-ACEEDF6D6E40}"/>
    <cellStyle name="Normal 17 3 5 4 2" xfId="6446" xr:uid="{0B30F0C4-9E06-40C4-ABA5-7189EAD4910E}"/>
    <cellStyle name="Normal 17 3 5 5" xfId="6139" xr:uid="{7A27537B-A222-41C2-8C2A-5575EA11537D}"/>
    <cellStyle name="Normal 17 3 6" xfId="2653" xr:uid="{E17FA83A-F012-49E7-9C5A-C26675AB83C5}"/>
    <cellStyle name="Normal 17 3 6 2" xfId="4469" xr:uid="{7842EC0C-153D-4185-B79C-6AB93461CF79}"/>
    <cellStyle name="Normal 17 3 6 2 2" xfId="6734" xr:uid="{C03FD96B-A6E1-47B1-AACA-76FC6BFDDEB3}"/>
    <cellStyle name="Normal 17 3 6 3" xfId="6195" xr:uid="{D7D378D2-E9DC-4ED8-820A-846F5C449E94}"/>
    <cellStyle name="Normal 17 3 7" xfId="2160" xr:uid="{FB6CC5DA-12D6-4BC8-9C4C-59ACF433BC04}"/>
    <cellStyle name="Normal 17 3 7 2" xfId="6578" xr:uid="{8B9E54F4-6A30-4255-A313-0AA071B5E964}"/>
    <cellStyle name="Normal 17 3 8" xfId="3043" xr:uid="{636CD217-EEAE-4A6C-8A75-04396408CEC5}"/>
    <cellStyle name="Normal 17 3 8 2" xfId="6367" xr:uid="{3E5E4050-E2C8-40B4-9C65-FD77A27D6085}"/>
    <cellStyle name="Normal 17 3 9" xfId="5032" xr:uid="{4303F699-E22A-44BD-AB26-24FC89733963}"/>
    <cellStyle name="Normal 17 4" xfId="1452" xr:uid="{9AE99372-FE4C-4329-A50B-A47ADF6F9033}"/>
    <cellStyle name="Normal 17 4 2" xfId="1843" xr:uid="{A859FAF6-8328-40A8-8D31-67FA96083D6B}"/>
    <cellStyle name="Normal 17 4 2 2" xfId="2494" xr:uid="{F71DF724-C701-4112-8226-C8D00DD33E77}"/>
    <cellStyle name="Normal 17 4 2 2 2" xfId="4576" xr:uid="{70D6E15F-6205-405D-83A3-D9F37C6637E2}"/>
    <cellStyle name="Normal 17 4 2 2 2 2" xfId="6865" xr:uid="{ED7BE100-29A9-40A4-AAEC-9A9B8854AFA2}"/>
    <cellStyle name="Normal 17 4 2 2 3" xfId="6318" xr:uid="{B7472F0A-B542-43E5-BE3F-2F157F76A1A7}"/>
    <cellStyle name="Normal 17 4 2 3" xfId="2930" xr:uid="{8EFAB30D-D7AB-4215-A75B-28F0E2F8A11C}"/>
    <cellStyle name="Normal 17 4 2 3 2" xfId="4355" xr:uid="{CE7D894D-5AB3-4E51-97E2-D0259CC00964}"/>
    <cellStyle name="Normal 17 4 2 4" xfId="2265" xr:uid="{65C28823-B941-49D8-B850-CCFACB091349}"/>
    <cellStyle name="Normal 17 4 2 4 2" xfId="6495" xr:uid="{D960D927-50DD-4E04-93BB-D5AB4060D9E3}"/>
    <cellStyle name="Normal 17 4 2 5" xfId="3168" xr:uid="{64441C18-81B0-4D1E-A090-38FAE803C08D}"/>
    <cellStyle name="Normal 17 4 2 6" xfId="5168" xr:uid="{3467DE66-9166-47BE-9F70-EC31F7D11D4B}"/>
    <cellStyle name="Normal 17 4 3" xfId="1779" xr:uid="{08A6FD8C-C0EC-4BD5-B1FA-6CD21D7E0A5E}"/>
    <cellStyle name="Normal 17 4 3 2" xfId="2874" xr:uid="{95A92A09-4F25-4555-B4F8-B71C86FE0A05}"/>
    <cellStyle name="Normal 17 4 3 2 2" xfId="4792" xr:uid="{D682F19C-5196-4F79-9DA4-4C443F20F552}"/>
    <cellStyle name="Normal 17 4 3 2 2 2" xfId="6821" xr:uid="{CDBFD1C3-1947-4DA1-A9E9-A273A5CFC06E}"/>
    <cellStyle name="Normal 17 4 3 2 3" xfId="6281" xr:uid="{95CF4933-4252-43C7-A811-F743829EF9B9}"/>
    <cellStyle name="Normal 17 4 3 3" xfId="2398" xr:uid="{32319DBC-ABA0-4CB7-AFD7-2781C86EEFE4}"/>
    <cellStyle name="Normal 17 4 3 3 2" xfId="4313" xr:uid="{BF5D6AC4-C008-459E-AD04-1AE3BFDFBD9D}"/>
    <cellStyle name="Normal 17 4 3 4" xfId="3565" xr:uid="{6746C1FC-4476-4847-A5FF-B1AA4BF7C613}"/>
    <cellStyle name="Normal 17 4 3 4 2" xfId="6454" xr:uid="{055515AC-A526-4E65-A589-16C5EF368FF0}"/>
    <cellStyle name="Normal 17 4 3 5" xfId="5121" xr:uid="{35AC4C8A-2C18-49D9-80C6-87CF1D373632}"/>
    <cellStyle name="Normal 17 4 4" xfId="2722" xr:uid="{5ADB746C-1F85-4F69-B830-7EA019102909}"/>
    <cellStyle name="Normal 17 4 4 2" xfId="3881" xr:uid="{99BA6EB8-4D4C-4FB9-9F88-C118879DA4C6}"/>
    <cellStyle name="Normal 17 4 5" xfId="2125" xr:uid="{FB438954-651E-49CA-9DEE-EB0A46CEE944}"/>
    <cellStyle name="Normal 17 4 5 2" xfId="4489" xr:uid="{F5FA1DF7-A8EC-46DD-A416-2F1A656BB435}"/>
    <cellStyle name="Normal 17 4 6" xfId="4165" xr:uid="{5566FC12-BBB5-4738-9AAF-ED791E856C60}"/>
    <cellStyle name="Normal 17 4 7" xfId="3067" xr:uid="{A179F8DE-1912-4E48-957D-4181E4AB0C1A}"/>
    <cellStyle name="Normal 17 5" xfId="1810" xr:uid="{9ED46BBF-9CED-45C9-ACA0-55EC518BA143}"/>
    <cellStyle name="Normal 17 5 2" xfId="1859" xr:uid="{04C24A6E-88A6-403D-A312-233A0606E7AE}"/>
    <cellStyle name="Normal 17 5 2 2" xfId="2946" xr:uid="{73A62CE2-6850-4F98-9DB1-842FD39E9DA1}"/>
    <cellStyle name="Normal 17 5 2 2 2" xfId="4579" xr:uid="{99EA39DF-DAC3-4FD8-8CB3-6AA219A1385D}"/>
    <cellStyle name="Normal 17 5 2 2 2 2" xfId="6879" xr:uid="{EE49EA0C-1058-430C-94DF-3FF1F71CDE1C}"/>
    <cellStyle name="Normal 17 5 2 2 3" xfId="6329" xr:uid="{FE69B892-F558-4113-8AF8-68A77660E5A5}"/>
    <cellStyle name="Normal 17 5 2 3" xfId="2452" xr:uid="{AF92D58D-DFE2-4119-9D59-DC79F1F15A58}"/>
    <cellStyle name="Normal 17 5 2 3 2" xfId="4366" xr:uid="{7EEA067D-77A8-4643-89BF-C41B5836F090}"/>
    <cellStyle name="Normal 17 5 2 4" xfId="3171" xr:uid="{9E547609-4822-4F45-BEF6-93E02A5B909F}"/>
    <cellStyle name="Normal 17 5 2 4 2" xfId="6507" xr:uid="{21A523D5-6CF2-4E3F-B908-A6C61C7A86A6}"/>
    <cellStyle name="Normal 17 5 2 5" xfId="5184" xr:uid="{97E8A908-0C7C-4E0E-B0F6-3BD68C82523A}"/>
    <cellStyle name="Normal 17 5 3" xfId="2898" xr:uid="{7C30623E-7022-42F5-8855-C5E88EBF9586}"/>
    <cellStyle name="Normal 17 5 3 2" xfId="4798" xr:uid="{431A47AC-5F80-4D26-95AD-88C5EF5FBECE}"/>
    <cellStyle name="Normal 17 5 3 2 2" xfId="6836" xr:uid="{2AAF1F0E-B7D9-49BF-9C2B-603F61BF546A}"/>
    <cellStyle name="Normal 17 5 3 3" xfId="3575" xr:uid="{510C80EB-6BA1-40F6-BC10-5AA3C3D8614C}"/>
    <cellStyle name="Normal 17 5 4" xfId="2218" xr:uid="{6A477832-6085-4AD6-B19D-90477F5E223C}"/>
    <cellStyle name="Normal 17 5 4 2" xfId="3886" xr:uid="{FD420FA9-B991-4198-8A53-143EF696A75F}"/>
    <cellStyle name="Normal 17 5 5" xfId="4497" xr:uid="{AD66F8A8-B512-4757-9B5C-5113AF2AE2AC}"/>
    <cellStyle name="Normal 17 5 5 2" xfId="6468" xr:uid="{4F49B309-720D-44AB-B211-949D24B1B8B5}"/>
    <cellStyle name="Normal 17 5 6" xfId="3074" xr:uid="{D93F3EA4-62CC-4D6E-A590-E46598C11543}"/>
    <cellStyle name="Normal 17 5 7" xfId="5137" xr:uid="{357C147D-F7CA-4FBB-ADFA-7679BBDC5779}"/>
    <cellStyle name="Normal 17 6" xfId="1827" xr:uid="{ECABE067-90AD-42D7-A1E3-0C2FEBFFAA8B}"/>
    <cellStyle name="Normal 17 6 2" xfId="2545" xr:uid="{608BA432-29CC-4186-B2A5-72478372DC06}"/>
    <cellStyle name="Normal 17 6 2 2" xfId="4533" xr:uid="{9EEC3D4C-FDB0-48C7-915C-EF849983EF9A}"/>
    <cellStyle name="Normal 17 6 2 2 2" xfId="6851" xr:uid="{6C3C763B-DAFD-461C-9C41-C2C0DDA82107}"/>
    <cellStyle name="Normal 17 6 2 3" xfId="6305" xr:uid="{CA0BD417-2737-4BD2-BCE9-A7905DD55885}"/>
    <cellStyle name="Normal 17 6 3" xfId="2915" xr:uid="{351951E8-FA21-402A-83E5-BC1F898D4A05}"/>
    <cellStyle name="Normal 17 6 3 2" xfId="4341" xr:uid="{230FF813-36C9-4166-B87A-44351B511206}"/>
    <cellStyle name="Normal 17 6 4" xfId="2326" xr:uid="{9276D601-6F92-4A55-B1C3-A1E4AFDDCA96}"/>
    <cellStyle name="Normal 17 6 4 2" xfId="6481" xr:uid="{48E5A500-3D10-40A8-B6EB-90F36BAF0C42}"/>
    <cellStyle name="Normal 17 6 5" xfId="3125" xr:uid="{8784AAD5-6A6F-4A31-9F15-8965E7A76A92}"/>
    <cellStyle name="Normal 17 6 6" xfId="5153" xr:uid="{2AA98966-77EA-4ACB-95BC-DED64B61CCE2}"/>
    <cellStyle name="Normal 17 7" xfId="1705" xr:uid="{2398A9A2-2877-4AEF-A652-DF9C854395FD}"/>
    <cellStyle name="Normal 17 7 2" xfId="2838" xr:uid="{AAB372E2-95FA-4EDC-A2A8-6C0BF65A4020}"/>
    <cellStyle name="Normal 17 7 2 2" xfId="4710" xr:uid="{566E24AF-EC09-4B46-9C19-D1D437132F9B}"/>
    <cellStyle name="Normal 17 7 2 2 2" xfId="6806" xr:uid="{4F4E7481-50F2-4CFE-A572-278B6D03459A}"/>
    <cellStyle name="Normal 17 7 2 3" xfId="6267" xr:uid="{0CCD8105-DCE8-4ECF-AA57-E8FFA7311532}"/>
    <cellStyle name="Normal 17 7 3" xfId="2353" xr:uid="{CC9F51E2-F595-40C2-B908-38400A80156B}"/>
    <cellStyle name="Normal 17 7 3 2" xfId="4284" xr:uid="{5B95211F-F86D-40F9-A1A6-12489D3E6A0D}"/>
    <cellStyle name="Normal 17 7 4" xfId="3317" xr:uid="{B2998960-E007-4734-AAAA-E70AA682975D}"/>
    <cellStyle name="Normal 17 7 4 2" xfId="6439" xr:uid="{C0758797-3A1B-4798-97F1-6DC23095F524}"/>
    <cellStyle name="Normal 17 7 5" xfId="5106" xr:uid="{1E507F74-E4BA-4EA6-B23C-74E4B7BCA8A8}"/>
    <cellStyle name="Normal 17 8" xfId="1889" xr:uid="{972E2829-047D-4A59-8B8D-721AA89C3608}"/>
    <cellStyle name="Normal 17 8 2" xfId="2969" xr:uid="{D54DCDF3-CB8F-4F96-BB91-8BDE067D9071}"/>
    <cellStyle name="Normal 17 8 2 2" xfId="4867" xr:uid="{E46517BA-1F15-4144-9E6A-3D8F796E83EC}"/>
    <cellStyle name="Normal 17 8 2 2 2" xfId="6708" xr:uid="{F4AF9296-7E3E-4F49-A86E-C8DCEB5227CA}"/>
    <cellStyle name="Normal 17 8 3" xfId="4390" xr:uid="{48319278-57FB-4486-88F1-A6BEBCAC4ED6}"/>
    <cellStyle name="Normal 17 8 3 2" xfId="6524" xr:uid="{95C38D88-E498-4AF6-86C9-EF4BC9E22CEA}"/>
    <cellStyle name="Normal 17 8 4" xfId="3658" xr:uid="{0BC6B5D8-6F40-42F7-A860-40B915E65504}"/>
    <cellStyle name="Normal 17 8 4 2" xfId="6186" xr:uid="{197BA01A-627A-48C1-A43D-9391BA812FEA}"/>
    <cellStyle name="Normal 17 8 5" xfId="5206" xr:uid="{A5C6963B-A827-4017-B8FE-76CFB8A27DC6}"/>
    <cellStyle name="Normal 17 9" xfId="2016" xr:uid="{BD72667D-3D3E-475B-804A-3E85D14D016B}"/>
    <cellStyle name="Normal 17 9 2" xfId="3836" xr:uid="{7BBB9A84-D1B3-4652-B75C-BEA226CCBA77}"/>
    <cellStyle name="Normal 17_NFS31" xfId="2119" xr:uid="{3B3B2AF8-E00B-4E4A-AB80-12AC28201166}"/>
    <cellStyle name="Normal 177" xfId="1618" xr:uid="{55D2F006-F4E9-45D8-9D20-B5E5DAF711EA}"/>
    <cellStyle name="Normal 177 2" xfId="1645" xr:uid="{A2810CAA-F1F5-498B-9A2B-FE87D0DDEF88}"/>
    <cellStyle name="Normal 177 2 2" xfId="1679" xr:uid="{C2C830DC-E3C3-444D-ADF6-E4552D3042A2}"/>
    <cellStyle name="Normal 177 2 2 2" xfId="2816" xr:uid="{F2BCF585-AC1E-47E8-84CF-37C409B2AD40}"/>
    <cellStyle name="Normal 177 2 2 2 2" xfId="5792" xr:uid="{9C41A086-14DC-4F85-B2D8-7B527B71F402}"/>
    <cellStyle name="Normal 177 2 2 2 2 2" xfId="6786" xr:uid="{78BAD20B-02F6-4997-B4E9-4DFFEE8FAE4F}"/>
    <cellStyle name="Normal 177 2 2 2 3" xfId="6247" xr:uid="{7F3A17A1-5891-47DC-9D36-431827E4F1B2}"/>
    <cellStyle name="Normal 177 2 2 3" xfId="4263" xr:uid="{04A834CB-48DB-4002-ADCE-DBDB4922D008}"/>
    <cellStyle name="Normal 177 2 2 3 2" xfId="6624" xr:uid="{7A57F863-8A1C-4051-8DEE-FE8BBBBD4A97}"/>
    <cellStyle name="Normal 177 2 2 4" xfId="5086" xr:uid="{CAD1FB59-4764-479C-A457-7F4A3A8516D5}"/>
    <cellStyle name="Normal 177 2 2 4 2" xfId="6419" xr:uid="{A9F212D9-FF9E-42C8-B05E-75AFED1F7487}"/>
    <cellStyle name="Normal 177 2 2 5" xfId="6121" xr:uid="{2FA74EF8-26CD-481F-AE27-6BCFDE80958D}"/>
    <cellStyle name="Normal 177 2 3" xfId="2789" xr:uid="{6B398242-FE63-42ED-9446-B9A3EE671995}"/>
    <cellStyle name="Normal 177 2 3 2" xfId="5766" xr:uid="{0F803D2D-3E9D-4826-AAD9-EA0164BF3525}"/>
    <cellStyle name="Normal 177 2 3 2 2" xfId="6760" xr:uid="{AE667F7E-162E-40B1-AC91-5F0072C3B1D7}"/>
    <cellStyle name="Normal 177 2 3 3" xfId="6221" xr:uid="{EF60BCAC-1E8F-4B1A-BA6E-05B4A9E3B4A5}"/>
    <cellStyle name="Normal 177 2 4" xfId="4235" xr:uid="{D9EE57BA-51B1-4A2E-9A1D-32CDE764B432}"/>
    <cellStyle name="Normal 177 2 4 2" xfId="6600" xr:uid="{336DF18A-6314-4B0E-8504-CAA657DE5F1D}"/>
    <cellStyle name="Normal 177 2 5" xfId="5060" xr:uid="{7278CFDA-112C-4227-9A1C-25CFC8F2B7BD}"/>
    <cellStyle name="Normal 177 2 5 2" xfId="6393" xr:uid="{EE78D471-B394-43C9-A19E-E6AB47CF5254}"/>
    <cellStyle name="Normal 177 2 6" xfId="6103" xr:uid="{196E16C9-02E7-452C-9037-2BB511B6A8C3}"/>
    <cellStyle name="Normal 177 3" xfId="1663" xr:uid="{99E5E67B-B28F-4E29-9CB4-3F4C9CCE7479}"/>
    <cellStyle name="Normal 177 3 2" xfId="1689" xr:uid="{41571A46-D1B1-42C2-8B7F-2CDB03198271}"/>
    <cellStyle name="Normal 177 3 2 2" xfId="2826" xr:uid="{E917CA36-4045-4F7B-9EB1-BDF5E79F2D72}"/>
    <cellStyle name="Normal 177 3 2 2 2" xfId="5802" xr:uid="{C3256787-6662-4F68-9929-E09FC871C768}"/>
    <cellStyle name="Normal 177 3 2 2 2 2" xfId="6796" xr:uid="{9D7C8C4A-9A50-4215-ACC0-497B5F2AEF09}"/>
    <cellStyle name="Normal 177 3 2 2 3" xfId="6257" xr:uid="{170342B2-0A98-4BC7-8D7E-33C20884830C}"/>
    <cellStyle name="Normal 177 3 2 3" xfId="4273" xr:uid="{85AF26BA-501C-4343-A455-364B6603D349}"/>
    <cellStyle name="Normal 177 3 2 3 2" xfId="6634" xr:uid="{4D8990FF-A902-416A-9B98-835F67276407}"/>
    <cellStyle name="Normal 177 3 2 4" xfId="5096" xr:uid="{E72C04F2-9C22-43BF-8A8C-99ACBB738A02}"/>
    <cellStyle name="Normal 177 3 2 4 2" xfId="6429" xr:uid="{11AE1306-3812-42F1-A042-E4F8994E3C9F}"/>
    <cellStyle name="Normal 177 3 2 5" xfId="6129" xr:uid="{577B0C07-1A8C-41C8-9114-7442A14E4383}"/>
    <cellStyle name="Normal 177 3 3" xfId="2800" xr:uid="{2912DCF2-089A-458B-A2F1-F5603D5AD900}"/>
    <cellStyle name="Normal 177 3 3 2" xfId="5776" xr:uid="{6E75F1F1-CDC7-44C9-9D1E-810670E8284C}"/>
    <cellStyle name="Normal 177 3 3 2 2" xfId="6770" xr:uid="{0B7F905E-5E3C-4505-B910-2717E3001389}"/>
    <cellStyle name="Normal 177 3 3 3" xfId="6231" xr:uid="{EA73ADA9-E8AD-4E2D-B18D-112C28ACAB90}"/>
    <cellStyle name="Normal 177 3 4" xfId="4247" xr:uid="{E8FD48C0-1DD6-4E18-9AF6-76A12CC8E6DE}"/>
    <cellStyle name="Normal 177 3 4 2" xfId="6609" xr:uid="{5FCACCFE-9816-406B-850C-F10F0495601B}"/>
    <cellStyle name="Normal 177 3 5" xfId="5070" xr:uid="{79208BC2-F2F1-4CEC-8F61-B63442C1E48F}"/>
    <cellStyle name="Normal 177 3 5 2" xfId="6403" xr:uid="{5F921FD5-D98F-41A3-9A7D-D4BE2150E064}"/>
    <cellStyle name="Normal 177 3 6" xfId="6110" xr:uid="{491756B0-2DA4-421D-ADB3-01ED6E905679}"/>
    <cellStyle name="Normal 177 4" xfId="1638" xr:uid="{557515F2-B281-42D1-B93E-85946D8CC9D3}"/>
    <cellStyle name="Normal 177 4 2" xfId="2784" xr:uid="{031186FE-CF0E-454A-83F9-501AF8EA67A0}"/>
    <cellStyle name="Normal 177 4 2 2" xfId="5761" xr:uid="{EB26255E-C2FC-481E-BCE6-B7FD13C6C7E2}"/>
    <cellStyle name="Normal 177 4 2 2 2" xfId="6755" xr:uid="{3D24AD6C-5115-486D-AC46-598342E30DA2}"/>
    <cellStyle name="Normal 177 4 2 3" xfId="6216" xr:uid="{3EF88D60-02EC-4429-B15B-7B0CE3839382}"/>
    <cellStyle name="Normal 177 4 3" xfId="4228" xr:uid="{46CF31A9-0A2B-43CB-9294-18C528C3020B}"/>
    <cellStyle name="Normal 177 4 3 2" xfId="6595" xr:uid="{15C8A951-13E1-4108-B8F5-7C3CA9C37DBA}"/>
    <cellStyle name="Normal 177 4 4" xfId="5055" xr:uid="{5897C669-627D-4957-B039-7ECB0F0F1B48}"/>
    <cellStyle name="Normal 177 4 4 2" xfId="6388" xr:uid="{54CF38CF-2882-48FE-B650-EBF57127AB2C}"/>
    <cellStyle name="Normal 177 4 5" xfId="6098" xr:uid="{2EABB6C3-37E0-438F-8655-C448F6B74998}"/>
    <cellStyle name="Normal 177 5" xfId="1674" xr:uid="{6FC2F7DB-FBE7-430A-A6C9-2454E9C17423}"/>
    <cellStyle name="Normal 177 5 2" xfId="2811" xr:uid="{C4A1419F-894C-4943-B199-4120507F1DE4}"/>
    <cellStyle name="Normal 177 5 2 2" xfId="5787" xr:uid="{9959AFBB-0510-4A81-A246-3663C9EEAAB9}"/>
    <cellStyle name="Normal 177 5 2 2 2" xfId="6781" xr:uid="{2A7600BB-7F8D-4029-94DA-07F26CC3FD2C}"/>
    <cellStyle name="Normal 177 5 2 3" xfId="6242" xr:uid="{03ACC0F4-D8A5-4CE2-A380-50714ECF172A}"/>
    <cellStyle name="Normal 177 5 3" xfId="4258" xr:uid="{4F17154D-2D16-4181-9269-E91A4635ED11}"/>
    <cellStyle name="Normal 177 5 3 2" xfId="6619" xr:uid="{6ED0DDCF-A976-4863-BCF3-41E7AE6B76CF}"/>
    <cellStyle name="Normal 177 5 4" xfId="5081" xr:uid="{47A6BCFB-67F4-458D-BB5D-04C66810C5B6}"/>
    <cellStyle name="Normal 177 5 4 2" xfId="6414" xr:uid="{C970EB89-1F72-4EEE-9B45-BCFE7A26F3DC}"/>
    <cellStyle name="Normal 177 5 5" xfId="6116" xr:uid="{34D39DB4-9D5F-449F-9069-788B2CE82E58}"/>
    <cellStyle name="Normal 177 6" xfId="2768" xr:uid="{5DA3B258-085B-4C7E-9452-452E6DD68340}"/>
    <cellStyle name="Normal 177 6 2" xfId="5754" xr:uid="{200D447E-06F5-43E6-B96B-4250EEBB9A2E}"/>
    <cellStyle name="Normal 177 6 2 2" xfId="6748" xr:uid="{8E6743B2-F0A6-45A3-9429-916B0D24867C}"/>
    <cellStyle name="Normal 177 6 3" xfId="6209" xr:uid="{B46EDE79-CEBD-4DE6-9679-FEA68CF3B782}"/>
    <cellStyle name="Normal 177 7" xfId="4215" xr:uid="{22B76B23-747B-44BB-A5EA-A54CEA2C6749}"/>
    <cellStyle name="Normal 177 7 2" xfId="6590" xr:uid="{8763642C-BF24-4B35-A471-50558BC0751E}"/>
    <cellStyle name="Normal 177 8" xfId="5048" xr:uid="{B88EC3CA-7829-48AD-A34F-058DB9896BF6}"/>
    <cellStyle name="Normal 177 8 2" xfId="6381" xr:uid="{B1828845-2B20-4682-A0D1-B9D25B63D294}"/>
    <cellStyle name="Normal 177 9" xfId="6094" xr:uid="{A8F60A74-F4A7-424C-A734-DF5F08EDF0AF}"/>
    <cellStyle name="Normal 18" xfId="44" xr:uid="{5F68A1A6-73ED-4D85-91E4-3FB4872C5DA4}"/>
    <cellStyle name="Normal 18 2" xfId="356" xr:uid="{2FDD19E0-945F-4B85-92F3-AF51C9751057}"/>
    <cellStyle name="Normal 18 2 2" xfId="1464" xr:uid="{820F3F77-8179-4710-8380-490173B5C1AA}"/>
    <cellStyle name="Normal 18 2 3" xfId="1078" xr:uid="{7728F18E-57E8-461F-B80A-B6C5FF058FF9}"/>
    <cellStyle name="Normal 18 3" xfId="1522" xr:uid="{BC3CF021-973E-4E56-90C6-484DFB201EFE}"/>
    <cellStyle name="Normal 18 3 2" xfId="4868" xr:uid="{5FB2858A-3ECE-45E7-8395-1EA329F362DF}"/>
    <cellStyle name="Normal 18 3 3" xfId="4189" xr:uid="{1CA4E03B-16D7-47D0-9B08-88D1A7698D15}"/>
    <cellStyle name="Normal 18 3 4" xfId="3659" xr:uid="{D7266DA4-41BF-49C9-A73A-18C82DD9AAE8}"/>
    <cellStyle name="Normal 18 4" xfId="1455" xr:uid="{1DCD0ACA-E589-4481-BAE2-A9B02698D6C1}"/>
    <cellStyle name="Normal 18 5" xfId="784" xr:uid="{EC16DB92-BE9B-49E4-9100-0B9B74991C6C}"/>
    <cellStyle name="Normal 19" xfId="10" xr:uid="{18AFC8AA-C710-4F00-B92E-5E8EBFE8AF5C}"/>
    <cellStyle name="Normal 19 2" xfId="357" xr:uid="{F649D9CB-45A4-4571-8743-9C8731922DF0}"/>
    <cellStyle name="Normal 19 2 2" xfId="1746" xr:uid="{8026F3FE-754A-4BA7-ACEC-E927A932624E}"/>
    <cellStyle name="Normal 19 2 3" xfId="2723" xr:uid="{7EC15989-789A-46C4-A2A8-3F92470C08F5}"/>
    <cellStyle name="Normal 19 2 3 2" xfId="4869" xr:uid="{5C67E808-07A1-45E8-A5A9-CE2F7D3B689B}"/>
    <cellStyle name="Normal 19 2 4" xfId="4169" xr:uid="{7F75233D-27FD-4D4B-87B2-EB728F82D5EC}"/>
    <cellStyle name="Normal 19 2 5" xfId="3660" xr:uid="{F8BCC69A-8FF6-4183-93F8-7AD8013333DD}"/>
    <cellStyle name="Normal 19 2 6" xfId="1463" xr:uid="{E960BEAD-0EDB-463A-A4EE-8D255B15197E}"/>
    <cellStyle name="Normal 19 3" xfId="1457" xr:uid="{6D1EAC15-69A7-44A8-AC8F-48944F4F8CDE}"/>
    <cellStyle name="Normal 19 4" xfId="883" xr:uid="{2FDDE987-870F-40BA-B1E3-AC2805938F76}"/>
    <cellStyle name="Normal 2" xfId="11" xr:uid="{4C2207D7-477A-470D-9F29-8FFCC4337C48}"/>
    <cellStyle name="Normal 2 10" xfId="21" xr:uid="{F867C1A2-7F28-4420-BD0B-419CAC37F315}"/>
    <cellStyle name="Normal 2 10 2" xfId="4929" xr:uid="{5E232EE1-386D-4F16-AFB7-0CF1C70E1EDB}"/>
    <cellStyle name="Normal 2 10 3" xfId="4124" xr:uid="{E4217B67-7CEB-49EB-9892-CC4B183DDF99}"/>
    <cellStyle name="Normal 2 10 4" xfId="3827" xr:uid="{FE4FD40B-DB3E-4449-B345-83F530DA9C71}"/>
    <cellStyle name="Normal 2 10 5" xfId="1348" xr:uid="{3FD5FBC7-3067-48AB-8852-8D1E69B20749}"/>
    <cellStyle name="Normal 2 11" xfId="358" xr:uid="{04ED7903-C79E-4478-8ABF-DACDC7075F5A}"/>
    <cellStyle name="Normal 2 11 2" xfId="1177" xr:uid="{65981D7A-E2AF-4B41-ABAA-96EAB5FC50EA}"/>
    <cellStyle name="Normal 2 12" xfId="1930" xr:uid="{A2A40A14-0CBB-4A07-96B2-2C585132E66F}"/>
    <cellStyle name="Normal 2 12 2" xfId="6009" xr:uid="{56302981-4687-4A15-99F6-67D7B4D3CF9D}"/>
    <cellStyle name="Normal 2 13" xfId="5259" xr:uid="{28A9601F-9805-440A-BDAB-9FB993331791}"/>
    <cellStyle name="Normal 2 13 2" xfId="6020" xr:uid="{A23E370B-2ADF-4B51-96CF-BFDC96E45DE0}"/>
    <cellStyle name="Normal 2 14" xfId="970" xr:uid="{069295C1-3A8B-448E-9F14-4FCA02755FAC}"/>
    <cellStyle name="Normal 2 15" xfId="902" xr:uid="{FC36993C-DEC7-4C70-9652-2E4930B1253E}"/>
    <cellStyle name="Normal 2 16" xfId="7058" xr:uid="{EFA1C937-3009-41CC-8B0A-4AC38DCE3BBC}"/>
    <cellStyle name="Normal 2 17" xfId="7070" xr:uid="{2D98BBF2-67B2-4E87-82FD-8905AB535B70}"/>
    <cellStyle name="Normal 2 18" xfId="7143" xr:uid="{B78A6547-F684-4225-BA62-94A0E41E85A6}"/>
    <cellStyle name="Normal 2 19" xfId="7336" xr:uid="{AE4D35E2-EA60-4305-872D-2FE60C82AD8F}"/>
    <cellStyle name="Normal 2 2" xfId="20" xr:uid="{B5176C07-206D-4056-AC15-1559BA2EE662}"/>
    <cellStyle name="Normal 2 2 2" xfId="17" xr:uid="{93396B67-60AC-49E0-A27C-DF12C511E5A5}"/>
    <cellStyle name="Normal 2 2 2 2" xfId="128" xr:uid="{8F8CB7C3-D424-4C56-9975-B1BC8FE46E28}"/>
    <cellStyle name="Normal 2 2 2 2 2" xfId="5441" xr:uid="{71F4A4A3-21DF-4D7C-BD76-7603DE66027B}"/>
    <cellStyle name="Normal 2 2 2 3" xfId="5615" xr:uid="{CC96DBE2-7167-47C3-B2CC-A0A743FBBB75}"/>
    <cellStyle name="Normal 2 2 2 4" xfId="684" xr:uid="{C8021B7A-B865-469D-B87F-1E2C4E7FC567}"/>
    <cellStyle name="Normal 2 2 2 5" xfId="1023" xr:uid="{85748685-1DED-46DA-917A-64E661FFEF6F}"/>
    <cellStyle name="Normal 2 2 2 6" xfId="7245" xr:uid="{21C996DA-F439-4272-BFB0-4BBD91F701FB}"/>
    <cellStyle name="Normal 2 2 3" xfId="127" xr:uid="{CD023BD1-4A0E-4752-A065-7B83DCA04A82}"/>
    <cellStyle name="Normal 2 2 3 2" xfId="361" xr:uid="{38DB2D6B-DC78-46D0-88C8-9B027E8CE627}"/>
    <cellStyle name="Normal 2 2 3 3" xfId="4870" xr:uid="{8363A04D-573C-42AB-AF5E-4CD012F6E793}"/>
    <cellStyle name="Normal 2 2 3 4" xfId="3992" xr:uid="{0BA2DF99-B9FF-472C-9B56-FCD4D8B8ACE3}"/>
    <cellStyle name="Normal 2 2 3 5" xfId="3661" xr:uid="{3ACF3BE5-DD64-417A-B33A-131C9DC31E2C}"/>
    <cellStyle name="Normal 2 2 3 6" xfId="1021" xr:uid="{F3649FE8-B321-48D4-B7F2-449550259668}"/>
    <cellStyle name="Normal 2 2 3 7" xfId="7354" xr:uid="{EEC96DCC-FB1E-41CF-9CFE-762C8C3C6A89}"/>
    <cellStyle name="Normal 2 2 4" xfId="362" xr:uid="{A4CF0A70-E636-429E-84C6-98E7B840B66A}"/>
    <cellStyle name="Normal 2 2 4 2" xfId="5608" xr:uid="{6B77C1A4-D03E-415A-8A0E-60D0EF790A49}"/>
    <cellStyle name="Normal 2 2 4 3" xfId="5261" xr:uid="{F5AD43C3-E585-4E4E-8D65-51FD2C0BA633}"/>
    <cellStyle name="Normal 2 2 5" xfId="588" xr:uid="{A14E31C0-569B-45E1-B4F2-775AB63BD7E0}"/>
    <cellStyle name="Normal 2 2 5 2" xfId="811" xr:uid="{68BEC7DF-4F30-4E80-A1A7-927E458942C3}"/>
    <cellStyle name="Normal 2 2 6" xfId="359" xr:uid="{BB3D6539-3BC6-40E7-9ECF-E96933CB815E}"/>
    <cellStyle name="Normal 2 2 7" xfId="942" xr:uid="{D8321111-40D6-4E74-AE41-E7AB0CEB9232}"/>
    <cellStyle name="Normal 2 2 8" xfId="7064" xr:uid="{395B1F5E-E254-40A7-AA9E-B2DE4FC1EAA3}"/>
    <cellStyle name="Normal 2 2 9" xfId="7319" xr:uid="{4CEE27E4-8953-4D76-9EF1-844A9F600C1F}"/>
    <cellStyle name="Normal 2 2_Elim" xfId="7108" xr:uid="{398D59F6-C40F-4735-B3F2-767C89967EBA}"/>
    <cellStyle name="Normal 2 3" xfId="30" xr:uid="{B6181C23-B13A-49EB-B57D-7A5C7A28C37F}"/>
    <cellStyle name="Normal 2 3 2" xfId="129" xr:uid="{CD16FAAF-DAFD-4B86-B2BC-B71BA8B42B8A}"/>
    <cellStyle name="Normal 2 3 2 2" xfId="572" xr:uid="{2F86B7F0-65E8-4BDD-8685-31202155A1F4}"/>
    <cellStyle name="Normal 2 3 2 2 2" xfId="5407" xr:uid="{6A2C1D33-9A8A-4D79-9B80-6759802C5235}"/>
    <cellStyle name="Normal 2 3 2 2 3" xfId="5349" xr:uid="{29CA7F07-6B6A-4FE4-ACEC-295FFF1CA50A}"/>
    <cellStyle name="Normal 2 3 2 2 4" xfId="1747" xr:uid="{688ED47E-6D81-4971-8C20-C51858BAEAEE}"/>
    <cellStyle name="Normal 2 3 2 3" xfId="4872" xr:uid="{EF1C9416-D347-40C6-83CA-8187F32B00F9}"/>
    <cellStyle name="Normal 2 3 2 3 2" xfId="5377" xr:uid="{C7694168-9073-4B36-830E-C25B552B6180}"/>
    <cellStyle name="Normal 2 3 2 4" xfId="4159" xr:uid="{80D4506D-A7AF-402D-A5EE-EFBF0892D16A}"/>
    <cellStyle name="Normal 2 3 2 5" xfId="3663" xr:uid="{19C1F897-8881-4BA3-873A-F73099C64A5B}"/>
    <cellStyle name="Normal 2 3 2 6" xfId="5316" xr:uid="{00AFB7FA-3E49-45CC-96B5-FCA4E1F277B4}"/>
    <cellStyle name="Normal 2 3 2 7" xfId="1441" xr:uid="{4ABDE458-E26A-428B-B83D-292183CCB243}"/>
    <cellStyle name="Normal 2 3 3" xfId="363" xr:uid="{857BE9B4-2D4D-4498-8E6C-8BF2D97EAA1C}"/>
    <cellStyle name="Normal 2 3 3 2" xfId="3003" xr:uid="{ABA376F8-5721-43AF-B334-925399A600BB}"/>
    <cellStyle name="Normal 2 3 3 2 2" xfId="4871" xr:uid="{854F027A-3D5C-405B-9AE4-1D4584A81D16}"/>
    <cellStyle name="Normal 2 3 3 3" xfId="2177" xr:uid="{336CAC84-959A-4E0D-93CB-4511B2125710}"/>
    <cellStyle name="Normal 2 3 3 3 2" xfId="4419" xr:uid="{5EFB3A62-9085-42C1-A828-675631E1A440}"/>
    <cellStyle name="Normal 2 3 3 4" xfId="3662" xr:uid="{5F4305F4-FA81-4535-A29D-69A181AA5403}"/>
    <cellStyle name="Normal 2 3 3 4 2" xfId="7225" xr:uid="{80626B1E-38CB-4F56-8E97-5EF951320202}"/>
    <cellStyle name="Normal 2 3 3 5" xfId="1928" xr:uid="{EABA004D-C623-4C86-88CE-FD3F010F39B5}"/>
    <cellStyle name="Normal 2 3 4" xfId="2327" xr:uid="{F7AA5CA7-F3A4-406A-A701-B821C73EAF81}"/>
    <cellStyle name="Normal 2 3 4 2" xfId="4446" xr:uid="{ABAFFF00-AFEF-420B-8C18-94B583873913}"/>
    <cellStyle name="Normal 2 3 5" xfId="1954" xr:uid="{472D6D44-27C3-400F-8E51-A9494A702B52}"/>
    <cellStyle name="Normal 2 3 5 2" xfId="3976" xr:uid="{9D23FCC0-A45D-4B01-9946-AEC339501A3B}"/>
    <cellStyle name="Normal 2 3 6" xfId="4990" xr:uid="{82795ADD-3E9B-4A2A-86F0-48CD5A4D3C13}"/>
    <cellStyle name="Normal 2 3 7" xfId="859" xr:uid="{562716A3-5769-4C1F-AA5D-50704C6E8BD7}"/>
    <cellStyle name="Normal 2 3_NFS31" xfId="2105" xr:uid="{9C8B6007-98BE-45E1-96CE-5A3F9071E33F}"/>
    <cellStyle name="Normal 2 4" xfId="19" xr:uid="{FCE6600D-4A94-46F7-94D8-92DC1DA60F1A}"/>
    <cellStyle name="Normal 2 4 2" xfId="364" xr:uid="{4E2482A2-AEF7-494E-95B5-813E8C47F2EC}"/>
    <cellStyle name="Normal 2 4 2 2" xfId="2719" xr:uid="{756E06B6-685C-4F4B-9287-0B4BE8DD92BD}"/>
    <cellStyle name="Normal 2 4 2 2 2" xfId="4873" xr:uid="{935D91C6-9FAF-470F-A0A7-92FADEB383AE}"/>
    <cellStyle name="Normal 2 4 2 3" xfId="2343" xr:uid="{A5A1763F-2A31-4487-908D-331CEFE0B152}"/>
    <cellStyle name="Normal 2 4 2 3 2" xfId="4160" xr:uid="{56CEC05A-2137-464A-9607-1338353DD876}"/>
    <cellStyle name="Normal 2 4 2 4" xfId="1442" xr:uid="{2AE5AA2C-85F7-46A9-8BAA-35DECC1073B7}"/>
    <cellStyle name="Normal 2 4 3" xfId="1879" xr:uid="{32B7252F-2C6F-4D40-8544-775CE3B1B839}"/>
    <cellStyle name="Normal 2 4 4" xfId="4997" xr:uid="{FEC956A5-BCA1-4FB9-B638-C9941482F51B}"/>
    <cellStyle name="Normal 2 4 5" xfId="7244" xr:uid="{88B53841-45B1-4417-9129-018C7CB21F7F}"/>
    <cellStyle name="Normal 2 4 6" xfId="7355" xr:uid="{D591C7D9-32FE-429B-8DC6-E94712958D07}"/>
    <cellStyle name="Normal 2 5" xfId="34" xr:uid="{63F834E1-64FC-434E-B236-6331DA5F8581}"/>
    <cellStyle name="Normal 2 5 2" xfId="365" xr:uid="{A8D57CBD-897A-4188-82EE-BFA83363EB8C}"/>
    <cellStyle name="Normal 2 5 2 2" xfId="2069" xr:uid="{D850F1A6-CCB7-4993-8E2F-45CA83D94139}"/>
    <cellStyle name="Normal 2 5 2 2 2" xfId="4757" xr:uid="{3C9FE9E2-63DF-420D-8BEE-33D30307862E}"/>
    <cellStyle name="Normal 2 5 2 2 3" xfId="3514" xr:uid="{D27B5C01-8C24-468B-9330-652029A4457C}"/>
    <cellStyle name="Normal 2 5 2 3" xfId="4456" xr:uid="{5C596707-79BF-4DDD-8E32-0DA00A3F30B2}"/>
    <cellStyle name="Normal 2 5 2 4" xfId="4421" xr:uid="{1D31632A-C87D-43EA-9FA2-0B187023C91D}"/>
    <cellStyle name="Normal 2 5 2 5" xfId="5388" xr:uid="{CB1D3A0A-E044-4C49-B34D-4EFABF51ACA2}"/>
    <cellStyle name="Normal 2 5 2 6" xfId="5613" xr:uid="{5BE5FCA3-759F-487F-822C-726941C48DDB}"/>
    <cellStyle name="Normal 2 5 2 7" xfId="1931" xr:uid="{4486A2E0-849B-4B4E-9415-43D54FA368ED}"/>
    <cellStyle name="Normal 2 5 3" xfId="2720" xr:uid="{6293A438-5146-4E0A-A439-1C458AF5B30F}"/>
    <cellStyle name="Normal 2 5 3 2" xfId="3664" xr:uid="{BFBB6783-8EBF-44B3-9980-ACF84F5DBFB6}"/>
    <cellStyle name="Normal 2 5 4" xfId="2320" xr:uid="{0EE4EC80-CA53-464E-9311-A4153C85C305}"/>
    <cellStyle name="Normal 2 5 4 2" xfId="4161" xr:uid="{6FF1E75C-E0E6-4FA4-A941-88A8458A32EE}"/>
    <cellStyle name="Normal 2 5 5" xfId="4998" xr:uid="{580C3857-C086-4DE6-B513-ECA7C7310B20}"/>
    <cellStyle name="Normal 2 5 6" xfId="5330" xr:uid="{AB68C362-89AD-4FBF-AE67-CCE58C2019AB}"/>
    <cellStyle name="Normal 2 5 7" xfId="900" xr:uid="{F5B36760-5F60-4979-BCEB-0C462202A234}"/>
    <cellStyle name="Normal 2 5 8" xfId="1443" xr:uid="{C8132834-5679-443E-B431-7382E718700E}"/>
    <cellStyle name="Normal 2 5 9" xfId="7099" xr:uid="{0F0A805B-0FE8-452C-9170-8CF2610572AA}"/>
    <cellStyle name="Normal 2 6" xfId="366" xr:uid="{9944C57E-6F73-431D-9384-2D5CF7FC9AFC}"/>
    <cellStyle name="Normal 2 6 2" xfId="1528" xr:uid="{4BCDA5BE-3FC4-4695-80AB-5965ECAFAC86}"/>
    <cellStyle name="Normal 2 6 2 2" xfId="4874" xr:uid="{58D5ED8D-13B0-4705-A4AD-6DA51868D2C0}"/>
    <cellStyle name="Normal 2 6 2 3" xfId="4191" xr:uid="{4B6C2F03-2C60-4484-9E72-57BE330F18D0}"/>
    <cellStyle name="Normal 2 6 2 4" xfId="3665" xr:uid="{7A793E4D-CCF9-4453-AF25-D0933723DC3C}"/>
    <cellStyle name="Normal 2 6 3" xfId="1877" xr:uid="{EF937D4C-88E7-4F6B-80EF-10C17ABFE535}"/>
    <cellStyle name="Normal 2 6 4" xfId="2725" xr:uid="{E037BC75-4012-42D7-8C7D-30A50FCFCC0B}"/>
    <cellStyle name="Normal 2 6 4 2" xfId="4486" xr:uid="{F2E6B05C-8C4F-44CB-8BCE-8071392C7802}"/>
    <cellStyle name="Normal 2 6 5" xfId="2322" xr:uid="{AC682CCF-4939-4DFD-A637-672A9D92866C}"/>
    <cellStyle name="Normal 2 6 5 2" xfId="4173" xr:uid="{EB43270A-06C1-4EE0-BDE0-F3541FBBED59}"/>
    <cellStyle name="Normal 2 6 6" xfId="3063" xr:uid="{3014A484-9DB9-4CAD-9F71-FCBD739ABC43}"/>
    <cellStyle name="Normal 2 6 7" xfId="5358" xr:uid="{2C2708AC-5FDB-41AB-8AE9-081D5C1F7C3B}"/>
    <cellStyle name="Normal 2 6 8" xfId="1476" xr:uid="{A9EF5E24-8075-4BDE-8C94-292AC7A5D46B}"/>
    <cellStyle name="Normal 2 7" xfId="367" xr:uid="{1DFFCF03-7718-4B39-92F2-1E0BBBD34DC1}"/>
    <cellStyle name="Normal 2 7 2" xfId="3169" xr:uid="{B5783AD6-DCC9-492A-8ECB-A5E3C8A2856C}"/>
    <cellStyle name="Normal 2 7 2 2" xfId="4577" xr:uid="{A7B07D0F-FD5D-4869-A9DB-B535DA4A75B6}"/>
    <cellStyle name="Normal 2 7 3" xfId="3570" xr:uid="{3CFAE035-AB78-47B2-8D45-9716519140CB}"/>
    <cellStyle name="Normal 2 7 3 2" xfId="4795" xr:uid="{4DD2DC01-4DBB-47AB-B3A4-55B0D391C7E8}"/>
    <cellStyle name="Normal 2 7 4" xfId="3883" xr:uid="{7EDB68AE-0D8D-49FA-B306-588E88105279}"/>
    <cellStyle name="Normal 2 7 5" xfId="4493" xr:uid="{D1489423-FDF8-4044-A0AD-537A891F96EA}"/>
    <cellStyle name="Normal 2 7 6" xfId="4186" xr:uid="{7E69D4D4-F465-498D-A0F1-6BE75E52B913}"/>
    <cellStyle name="Normal 2 7 7" xfId="3070" xr:uid="{426F7FA4-73A7-4819-B427-AE279AACEF8C}"/>
    <cellStyle name="Normal 2 7 8" xfId="1513" xr:uid="{0AA448E8-9E14-4EDC-A319-219455D99B2E}"/>
    <cellStyle name="Normal 2 8" xfId="368" xr:uid="{329E90D9-9641-44F6-8E3D-82E62DA9AFA8}"/>
    <cellStyle name="Normal 2 8 2" xfId="4524" xr:uid="{AA23AD99-8F05-4930-A733-79C35541F09C}"/>
    <cellStyle name="Normal 2 8 3" xfId="4184" xr:uid="{88ED9D72-2FE3-4196-8C84-244B73917B2C}"/>
    <cellStyle name="Normal 2 8 4" xfId="3117" xr:uid="{F9B7FE08-0DC0-4B20-A0E4-516EA5A9F924}"/>
    <cellStyle name="Normal 2 8 5" xfId="1508" xr:uid="{6CA44AD0-BD57-4BD7-890F-FAE4988B5ACC}"/>
    <cellStyle name="Normal 2 9" xfId="470" xr:uid="{77F40587-668D-43E9-A374-713B5D8EDFC6}"/>
    <cellStyle name="Normal 2 9 2" xfId="3212" xr:uid="{E2AC9B5E-EFB3-4FDE-9043-C8766EC9B24A}"/>
    <cellStyle name="Normal 2 9 2 2" xfId="4620" xr:uid="{004EC8FC-291B-4642-A4E7-F49536A6B3EE}"/>
    <cellStyle name="Normal 2 9 3" xfId="3623" xr:uid="{719AAD62-F0E7-4087-BB88-9653608BE576}"/>
    <cellStyle name="Normal 2 9 3 2" xfId="4844" xr:uid="{C0C591CA-0CD9-4C70-9E74-0E12E52BDF4D}"/>
    <cellStyle name="Normal 2 9 4" xfId="3930" xr:uid="{5BC56483-C87F-4F6E-B79D-F964BC8A5C2A}"/>
    <cellStyle name="Normal 2 9 5" xfId="4528" xr:uid="{279564CF-B5DC-4AC9-B42F-F9DF00F75A85}"/>
    <cellStyle name="Normal 2 9 6" xfId="4205" xr:uid="{1E2D9A70-ABFD-490C-B1AA-39478946B09E}"/>
    <cellStyle name="Normal 2 9 7" xfId="3120" xr:uid="{A4B3D1CA-869D-4622-BA4F-33006A2B4FE5}"/>
    <cellStyle name="Normal 2 9 8" xfId="1568" xr:uid="{C9906704-0F55-4B26-A3FB-0AEA61CC43FF}"/>
    <cellStyle name="Normal 2_CGH58Q1" xfId="7181" xr:uid="{A05AF617-57A5-4C5C-AF91-B6B2F0972C9B}"/>
    <cellStyle name="Normal 20" xfId="177" xr:uid="{BD469219-5576-4D7E-A2E7-46764DE73E06}"/>
    <cellStyle name="Normal 20 2" xfId="369" xr:uid="{0D5E8262-9EE6-4B9D-99BD-5929BD3D80F4}"/>
    <cellStyle name="Normal 20 2 2" xfId="1538" xr:uid="{775AD2C2-B88F-443D-B8FD-AEF6C419959B}"/>
    <cellStyle name="Normal 20 2 3" xfId="1496" xr:uid="{258963ED-A120-4B2A-B75E-C526A7E6F059}"/>
    <cellStyle name="Normal 20 2 4" xfId="4875" xr:uid="{0E50EA11-2CE6-41E0-BC97-3F83063D1A98}"/>
    <cellStyle name="Normal 20 2 5" xfId="4014" xr:uid="{C09BDBC0-EDD6-4EDA-8297-DAD95EFF9F86}"/>
    <cellStyle name="Normal 20 2 6" xfId="3666" xr:uid="{D851BC9F-DFBE-41CA-B4B7-A1E64EA08E4A}"/>
    <cellStyle name="Normal 20 2 7" xfId="1079" xr:uid="{60BA7040-FB31-4347-BD9E-64211B0ED5EE}"/>
    <cellStyle name="Normal 20 3" xfId="1462" xr:uid="{8BD59131-BF7E-4238-B02D-7109278AC2D7}"/>
    <cellStyle name="Normal 20 4" xfId="1524" xr:uid="{0DA8650B-564B-4081-8FCD-4604D1470FBF}"/>
    <cellStyle name="Normal 20 5" xfId="1458" xr:uid="{8B8FA4EA-5C8B-4383-8479-4AA6139A1135}"/>
    <cellStyle name="Normal 20 6" xfId="674" xr:uid="{A74A8A34-1AC7-475C-BC27-E7E0D2F0EFD7}"/>
    <cellStyle name="Normal 21" xfId="178" xr:uid="{2B05B072-4602-4EBF-9630-0F66108954D3}"/>
    <cellStyle name="Normal 21 2" xfId="370" xr:uid="{88E8D382-C5A6-4B46-BDB4-80C90D67A396}"/>
    <cellStyle name="Normal 21 2 2" xfId="1527" xr:uid="{9D167B55-4C7F-4E45-AC42-F93A46C491D5}"/>
    <cellStyle name="Normal 21 2 3" xfId="4876" xr:uid="{BABECE42-2103-441E-BEBF-03A68C00158B}"/>
    <cellStyle name="Normal 21 2 4" xfId="4015" xr:uid="{FBE64F25-5609-4623-BEDB-31A4C97BEF5C}"/>
    <cellStyle name="Normal 21 2 5" xfId="3667" xr:uid="{BB746BB6-07F8-49E6-96B1-BA19B3F8AD0E}"/>
    <cellStyle name="Normal 21 2 6" xfId="1080" xr:uid="{3D854620-8A40-492C-BED4-711BDBEF5E57}"/>
    <cellStyle name="Normal 21 3" xfId="1461" xr:uid="{9843C86A-0071-4093-BEC7-A2D53025AE85}"/>
    <cellStyle name="Normal 21 4" xfId="919" xr:uid="{5A841B03-7A30-4B23-AFA7-2F014492D3D6}"/>
    <cellStyle name="Normal 22" xfId="179" xr:uid="{0941C718-703A-47C0-8B2B-366A7EE2DAEB}"/>
    <cellStyle name="Normal 22 2" xfId="371" xr:uid="{FFE08591-0810-4AD6-82F8-1844A7FB0F8B}"/>
    <cellStyle name="Normal 22 2 10" xfId="5271" xr:uid="{43E4A743-084F-4BF9-8C4B-837AEC5D5163}"/>
    <cellStyle name="Normal 22 2 11" xfId="1529" xr:uid="{24AD6361-D16C-437C-9AF3-279C81342B35}"/>
    <cellStyle name="Normal 22 2 2" xfId="1748" xr:uid="{BFB38CF2-F063-4DA8-943B-D080E2709C8F}"/>
    <cellStyle name="Normal 22 2 2 2" xfId="2250" xr:uid="{F89FF6B8-90AB-4155-A3D0-4B3459780DB9}"/>
    <cellStyle name="Normal 22 2 2 2 2" xfId="2479" xr:uid="{67DEFA6A-868B-4DE7-B2EF-2FD2124FB6F3}"/>
    <cellStyle name="Normal 22 2 2 2 2 2" xfId="4608" xr:uid="{3986A908-0B7D-467F-B8D6-4B7E95B490F3}"/>
    <cellStyle name="Normal 22 2 2 2 2 3" xfId="3200" xr:uid="{21F63397-BD4B-4FE4-BA6D-9B6C077DCF99}"/>
    <cellStyle name="Normal 22 2 2 2 3" xfId="3607" xr:uid="{D5532691-32D3-49A5-A1A9-BB60BBCADC50}"/>
    <cellStyle name="Normal 22 2 2 2 3 2" xfId="4828" xr:uid="{4EB9C73D-FB39-4654-87E8-74F29DC5EA04}"/>
    <cellStyle name="Normal 22 2 2 2 4" xfId="3915" xr:uid="{BF338D48-1711-45D8-8041-D78B1D8F86F0}"/>
    <cellStyle name="Normal 22 2 2 2 5" xfId="3105" xr:uid="{B94C9CEC-0D17-4A38-838D-CA4416C2031E}"/>
    <cellStyle name="Normal 22 2 2 3" xfId="2382" xr:uid="{D89292F7-34B8-4DC7-BC7B-87859246D6FB}"/>
    <cellStyle name="Normal 22 2 2 3 2" xfId="4563" xr:uid="{607174A9-6C03-40C2-9202-DB3CB88E93E1}"/>
    <cellStyle name="Normal 22 2 2 3 3" xfId="3155" xr:uid="{906B2D50-34EB-4E52-918C-3BB11EE72D93}"/>
    <cellStyle name="Normal 22 2 2 4" xfId="2858" xr:uid="{7554447C-7FED-4ED5-897D-C5B5747A3B7A}"/>
    <cellStyle name="Normal 22 2 2 4 2" xfId="4778" xr:uid="{53258491-C9D6-4F9A-8F4C-552CE4A273A3}"/>
    <cellStyle name="Normal 22 2 2 4 3" xfId="3546" xr:uid="{94CBA53B-C33D-4940-A14B-876846449A29}"/>
    <cellStyle name="Normal 22 2 2 5" xfId="2088" xr:uid="{2D48283C-27CD-4476-B9D4-136605EB8D12}"/>
    <cellStyle name="Normal 22 2 2 5 2" xfId="3867" xr:uid="{7F2EFB27-C626-4DFB-B2ED-ED5036612C2A}"/>
    <cellStyle name="Normal 22 2 2 6" xfId="4476" xr:uid="{57247F91-8C0A-4774-9FFE-DE39160380E1}"/>
    <cellStyle name="Normal 22 2 2 7" xfId="4297" xr:uid="{29444FE5-3EC8-47A0-9910-8CAE892A5B7C}"/>
    <cellStyle name="Normal 22 2 2 8" xfId="3051" xr:uid="{DA88D3D0-FBF6-44A1-80D7-611EB36A20C4}"/>
    <cellStyle name="Normal 22 2 3" xfId="2228" xr:uid="{7608DDCA-558F-48D7-9839-BB359B5C54B6}"/>
    <cellStyle name="Normal 22 2 3 2" xfId="2459" xr:uid="{F2E3F461-33F7-4412-B9D2-F9E1D085E877}"/>
    <cellStyle name="Normal 22 2 3 2 2" xfId="4587" xr:uid="{286FA353-2DAC-41B8-9ED7-03E9E1120AC4}"/>
    <cellStyle name="Normal 22 2 3 2 3" xfId="3179" xr:uid="{5AF33E99-FADA-4484-956F-84810DDBE791}"/>
    <cellStyle name="Normal 22 2 3 3" xfId="3586" xr:uid="{BC717332-761B-4219-B584-D3FC8F65F860}"/>
    <cellStyle name="Normal 22 2 3 3 2" xfId="4807" xr:uid="{3A8C90EF-DFDD-4E60-AE79-901C7BB6F160}"/>
    <cellStyle name="Normal 22 2 3 4" xfId="3894" xr:uid="{10974289-CC6E-446C-88BF-A24A48CF0E00}"/>
    <cellStyle name="Normal 22 2 3 5" xfId="3084" xr:uid="{DB51B299-026F-4E86-8409-A568CCFD0AB1}"/>
    <cellStyle name="Normal 22 2 4" xfId="2359" xr:uid="{75C48E8A-AB6F-4E4E-B5FE-9012B73FF8DE}"/>
    <cellStyle name="Normal 22 2 4 2" xfId="4542" xr:uid="{8BD06717-46C4-4B26-A844-CE17B72B8AAB}"/>
    <cellStyle name="Normal 22 2 4 3" xfId="3134" xr:uid="{971ED8C7-29FC-45A8-9C48-84A9C617D267}"/>
    <cellStyle name="Normal 22 2 5" xfId="2739" xr:uid="{3704A454-85D8-4706-AD2E-1D4CE3620559}"/>
    <cellStyle name="Normal 22 2 5 2" xfId="4753" xr:uid="{3F778C66-A2D1-4BF8-9523-FD426E630E1B}"/>
    <cellStyle name="Normal 22 2 5 3" xfId="3477" xr:uid="{2C0C97DF-305F-4E41-9CB7-92401758DC34}"/>
    <cellStyle name="Normal 22 2 6" xfId="1953" xr:uid="{E2009F17-74F4-4F8B-83D6-FB28D8B1C6C4}"/>
    <cellStyle name="Normal 22 2 6 2" xfId="3846" xr:uid="{B7777592-E306-419B-9525-05F02C0DF349}"/>
    <cellStyle name="Normal 22 2 7" xfId="4447" xr:uid="{59A82633-D8CF-4A60-A9A8-CF19CD5900F9}"/>
    <cellStyle name="Normal 22 2 8" xfId="4192" xr:uid="{5518389F-EC31-4789-91F2-59D9C44B45B5}"/>
    <cellStyle name="Normal 22 2 9" xfId="3029" xr:uid="{105E5A8A-C073-463B-A679-E10B5EFE81B7}"/>
    <cellStyle name="Normal 22 3" xfId="1477" xr:uid="{9EF5D57E-211B-4C12-8D63-8CAA7CDC06B1}"/>
    <cellStyle name="Normal 22 3 2" xfId="1784" xr:uid="{116AE9EC-A9EA-4811-A9DD-AD5FDD681A18}"/>
    <cellStyle name="Normal 22 3 2 2" xfId="2247" xr:uid="{212D5E72-E45A-4383-AE76-07EE1195DBDD}"/>
    <cellStyle name="Normal 22 3 2 2 2" xfId="2476" xr:uid="{A5B06DA5-E87E-41F8-A37B-9123BC3E178D}"/>
    <cellStyle name="Normal 22 3 2 2 2 2" xfId="4605" xr:uid="{FE935D07-36EE-460B-936B-E39B2C8D110D}"/>
    <cellStyle name="Normal 22 3 2 2 2 3" xfId="3197" xr:uid="{B82AB4CD-E731-4111-BBDB-25A10E5C43F9}"/>
    <cellStyle name="Normal 22 3 2 2 3" xfId="3604" xr:uid="{51E2EBB5-188B-4806-9D5D-1ADCCE8E5C73}"/>
    <cellStyle name="Normal 22 3 2 2 3 2" xfId="4825" xr:uid="{6B375B3D-97E6-4309-96C7-0549C3A438A8}"/>
    <cellStyle name="Normal 22 3 2 2 4" xfId="3912" xr:uid="{6F5740C5-D6DF-48ED-835B-0638587D787E}"/>
    <cellStyle name="Normal 22 3 2 2 5" xfId="3102" xr:uid="{BB255AB0-BDF3-40DC-A9A4-8C607F51BB94}"/>
    <cellStyle name="Normal 22 3 2 3" xfId="2379" xr:uid="{E95BBDD5-EC1E-498F-9C35-38C4983E476B}"/>
    <cellStyle name="Normal 22 3 2 3 2" xfId="4560" xr:uid="{6C03A7CD-A4BF-4550-8031-CC2496FE60C0}"/>
    <cellStyle name="Normal 22 3 2 3 3" xfId="3152" xr:uid="{A4D11E7D-E716-4C70-92CA-B6CED0688240}"/>
    <cellStyle name="Normal 22 3 2 4" xfId="2878" xr:uid="{77F1E110-8FB8-4F9B-91F2-026DC9BE9DCA}"/>
    <cellStyle name="Normal 22 3 2 4 2" xfId="4775" xr:uid="{AD85CECA-9C25-47F2-B841-92F03967906E}"/>
    <cellStyle name="Normal 22 3 2 4 3" xfId="3542" xr:uid="{1FBBE12B-7803-408B-B253-58C3F882A574}"/>
    <cellStyle name="Normal 22 3 2 5" xfId="2085" xr:uid="{7768D4FB-43CA-4105-88C2-E5D661DB3AC4}"/>
    <cellStyle name="Normal 22 3 2 5 2" xfId="3864" xr:uid="{D0BE3B05-50A6-4E09-9074-ECBCE624F17E}"/>
    <cellStyle name="Normal 22 3 2 6" xfId="4473" xr:uid="{63968865-0607-424F-B048-340A2D268C7F}"/>
    <cellStyle name="Normal 22 3 2 7" xfId="4316" xr:uid="{451C3E56-D009-4AEB-82B8-F7AC786DBE7B}"/>
    <cellStyle name="Normal 22 3 2 8" xfId="3048" xr:uid="{6F09881A-5FC8-45DE-B4F4-10D23B051993}"/>
    <cellStyle name="Normal 22 3 3" xfId="2225" xr:uid="{5601901A-28E9-47CB-B6EB-F4BD12D3A02D}"/>
    <cellStyle name="Normal 22 3 3 2" xfId="2456" xr:uid="{C45829FC-E394-4235-91EA-5EC6C9B86410}"/>
    <cellStyle name="Normal 22 3 3 2 2" xfId="4584" xr:uid="{BE2FD0BD-25E9-41DB-BB9F-1DC708E364B4}"/>
    <cellStyle name="Normal 22 3 3 2 3" xfId="3176" xr:uid="{03F16003-C5DC-4FD8-8257-39CA5B02A361}"/>
    <cellStyle name="Normal 22 3 3 3" xfId="3583" xr:uid="{FBB1B7DD-A911-4645-9BE3-3F966963868A}"/>
    <cellStyle name="Normal 22 3 3 3 2" xfId="4804" xr:uid="{69DB076E-EEE4-4ACB-927F-1B1010CB9A46}"/>
    <cellStyle name="Normal 22 3 3 4" xfId="3891" xr:uid="{1569F61E-CFE5-468D-A0CF-54AE16A081B1}"/>
    <cellStyle name="Normal 22 3 3 5" xfId="3081" xr:uid="{B7A7D4A9-FD43-4545-BA2C-91F7385AF7FA}"/>
    <cellStyle name="Normal 22 3 4" xfId="2356" xr:uid="{F8104E55-24D2-4B2E-99B6-A39EB6A8B90C}"/>
    <cellStyle name="Normal 22 3 4 2" xfId="4539" xr:uid="{F84F89FD-F153-43F6-89EC-7E54136AEB62}"/>
    <cellStyle name="Normal 22 3 4 3" xfId="3131" xr:uid="{395391D4-1A74-4964-8B11-CA43466C6F8D}"/>
    <cellStyle name="Normal 22 3 5" xfId="2726" xr:uid="{5EB33945-8262-4002-ACC0-34A68482097B}"/>
    <cellStyle name="Normal 22 3 5 2" xfId="4736" xr:uid="{11422C12-6CFC-4153-BE5D-D7720D6543C0}"/>
    <cellStyle name="Normal 22 3 5 3" xfId="3439" xr:uid="{9617F81B-108A-42C4-A263-B4C882AF0AC5}"/>
    <cellStyle name="Normal 22 3 6" xfId="2011" xr:uid="{419C97D9-3B6A-40CB-BD58-4B67D2DD4DC3}"/>
    <cellStyle name="Normal 22 3 6 2" xfId="3843" xr:uid="{91151CF2-6569-4422-B8C1-2805C0F4AD4D}"/>
    <cellStyle name="Normal 22 3 7" xfId="4439" xr:uid="{420E40C9-4CD6-4EB8-AC60-B10A1AD6DDB2}"/>
    <cellStyle name="Normal 22 3 8" xfId="4174" xr:uid="{8E88D300-87D4-498C-8DC1-419200439D76}"/>
    <cellStyle name="Normal 22 3 9" xfId="3025" xr:uid="{905BE91C-B44E-4420-BB7F-A77E515923F4}"/>
    <cellStyle name="Normal 22 4" xfId="1721" xr:uid="{CB4398CD-392C-43F2-B6DB-C03BD651AF60}"/>
    <cellStyle name="Normal 22 4 2" xfId="4877" xr:uid="{D8FD9111-7AE7-4C27-8AFC-9FB7A6916FA2}"/>
    <cellStyle name="Normal 22 4 3" xfId="4289" xr:uid="{A28661BE-C942-4DEA-A6D3-C50813A68ACB}"/>
    <cellStyle name="Normal 22 4 4" xfId="3668" xr:uid="{02E02A53-F435-4549-929B-174ACF81B202}"/>
    <cellStyle name="Normal 22 5" xfId="756" xr:uid="{4753AF8A-5772-4B68-8F40-43881D86B88F}"/>
    <cellStyle name="Normal 220 2" xfId="1613" xr:uid="{52F9D173-F9C5-4181-875B-1D887E871595}"/>
    <cellStyle name="Normal 23" xfId="180" xr:uid="{085324E5-1AB8-4015-A528-7D09E724BADA}"/>
    <cellStyle name="Normal 23 2" xfId="372" xr:uid="{C75EB646-EDF0-4250-A87A-556897E9FE4F}"/>
    <cellStyle name="Normal 23 2 2" xfId="1537" xr:uid="{C90186E2-4E7E-4EAE-A0F5-0B6048231B90}"/>
    <cellStyle name="Normal 23 2 3" xfId="4878" xr:uid="{55CD12FF-6467-4788-8C96-AE8A15F83E9B}"/>
    <cellStyle name="Normal 23 2 4" xfId="4016" xr:uid="{079333A9-D4CE-4EF9-9912-1E433F962187}"/>
    <cellStyle name="Normal 23 2 5" xfId="3669" xr:uid="{44173450-2795-4703-9625-C29FD047C26F}"/>
    <cellStyle name="Normal 23 2 6" xfId="1081" xr:uid="{3FEC1122-1842-4A23-91EF-3B0714CC4686}"/>
    <cellStyle name="Normal 23 3" xfId="1495" xr:uid="{66706A27-420F-4C90-80AE-B9106CA0521D}"/>
    <cellStyle name="Normal 23 4" xfId="827" xr:uid="{E72A3336-318B-42F1-BD85-274C53098A54}"/>
    <cellStyle name="Normal 23 5" xfId="7089" xr:uid="{5BF1BB24-6145-4BE8-9885-BAB199EEE5E5}"/>
    <cellStyle name="Normal 24" xfId="181" xr:uid="{51D7EA8D-C2D9-4E6A-93E5-1B2895B8D498}"/>
    <cellStyle name="Normal 24 2" xfId="373" xr:uid="{1C7BD15A-F48E-4A27-9122-82B89249211C}"/>
    <cellStyle name="Normal 24 2 2" xfId="1540" xr:uid="{BEF8A65E-3E8B-4E9D-B0B7-48D2C532F4A8}"/>
    <cellStyle name="Normal 24 2 3" xfId="4879" xr:uid="{2515DF28-FA5B-4826-B275-D7F8EC0CB545}"/>
    <cellStyle name="Normal 24 2 4" xfId="4017" xr:uid="{B8AABAF1-C89C-4326-992B-9A9664AA02A4}"/>
    <cellStyle name="Normal 24 2 5" xfId="3670" xr:uid="{D8F25FB7-05C6-4AB0-B024-E93CC9428D9E}"/>
    <cellStyle name="Normal 24 2 6" xfId="1082" xr:uid="{F78F81E7-DA1F-40CE-B853-CF72A0FCF4B0}"/>
    <cellStyle name="Normal 24 3" xfId="1498" xr:uid="{0A5F47C6-E607-4F23-95F3-5C9B9C240CCC}"/>
    <cellStyle name="Normal 24 3 2" xfId="1787" xr:uid="{399944D5-C797-4868-890E-985A5E1B434E}"/>
    <cellStyle name="Normal 24 4" xfId="1727" xr:uid="{47EEEB57-5459-46DE-A77E-E19EB6FDB576}"/>
    <cellStyle name="Normal 24 5" xfId="955" xr:uid="{E8330DDA-FD26-48DC-91C4-A9CBD661A56E}"/>
    <cellStyle name="Normal 25" xfId="182" xr:uid="{12F3BA15-8279-409A-9AE1-451B003AD61E}"/>
    <cellStyle name="Normal 25 2" xfId="374" xr:uid="{9C1CBCAD-F1DF-482C-8F74-0F9D46E0FAA0}"/>
    <cellStyle name="Normal 25 2 2" xfId="1541" xr:uid="{E95ED125-6E18-4E99-A4E7-F3151BDF72C6}"/>
    <cellStyle name="Normal 25 2 3" xfId="5323" xr:uid="{16DF821C-6DCA-43C3-AE2D-4F689E4A997B}"/>
    <cellStyle name="Normal 25 2 3 2" xfId="5432" xr:uid="{C9FD6669-B19D-408C-8584-033470F63692}"/>
    <cellStyle name="Normal 25 2 4" xfId="5623" xr:uid="{8EE9C412-530D-4449-9EB1-789C0BAC30E4}"/>
    <cellStyle name="Normal 25 2 5" xfId="226" xr:uid="{E3A92B10-E2A2-4461-A7E1-5D09E3D3ABC8}"/>
    <cellStyle name="Normal 25 3" xfId="1649" xr:uid="{6F33328D-B44D-4A36-A4A5-C24869033E31}"/>
    <cellStyle name="Normal 25 3 2" xfId="1749" xr:uid="{29A3FF25-45CD-4137-80AA-EEBB21E45B6A}"/>
    <cellStyle name="Normal 25 3 3" xfId="2792" xr:uid="{7CA6B50A-B197-4F0D-BFC8-160D36550C36}"/>
    <cellStyle name="Normal 25 3 3 2" xfId="4448" xr:uid="{2DC8C6D4-CD61-4C8C-B098-9D3AD37B09FE}"/>
    <cellStyle name="Normal 25 3 3 2 2" xfId="5962" xr:uid="{167C0DB3-8AE8-4D9F-8963-EBF0FA5982A5}"/>
    <cellStyle name="Normal 25 3 4" xfId="4239" xr:uid="{825F0C24-945C-4C81-8AAC-C92B339F6AD1}"/>
    <cellStyle name="Normal 25 3 4 2" xfId="5880" xr:uid="{89A1A3D8-AC85-47A9-A630-F5BEA5F1B546}"/>
    <cellStyle name="Normal 25 3 5" xfId="3030" xr:uid="{000F0903-E971-41D6-8B07-605DE0AA8779}"/>
    <cellStyle name="Normal 25 4" xfId="1499" xr:uid="{A30442C1-E11C-4D65-9690-719C2F32DE0C}"/>
    <cellStyle name="Normal 25 4 2" xfId="1790" xr:uid="{081D3BAE-DFA1-47B6-8D9C-31E5F800DA50}"/>
    <cellStyle name="Normal 25 4 3" xfId="2730" xr:uid="{0162DDC7-3250-4299-9DE9-76BABD04B2E0}"/>
    <cellStyle name="Normal 25 4 3 2" xfId="4880" xr:uid="{E14CC21B-D095-4830-9955-B137D06B6F82}"/>
    <cellStyle name="Normal 25 4 4" xfId="2313" xr:uid="{FAD7677C-90A7-4EA5-8ED0-72410A8AF610}"/>
    <cellStyle name="Normal 25 4 4 2" xfId="4179" xr:uid="{ADF03233-4BCF-4F9F-BEAB-3C7630FD5590}"/>
    <cellStyle name="Normal 25 4 5" xfId="3671" xr:uid="{22120EA1-EB52-4F51-9805-6FEAB398A98B}"/>
    <cellStyle name="Normal 25 5" xfId="1730" xr:uid="{5171C57A-EBD1-4B8E-931E-5A4CDE55CB88}"/>
    <cellStyle name="Normal 25 6" xfId="893" xr:uid="{9D575D0A-DF6F-476E-97C8-D416F3FF7394}"/>
    <cellStyle name="Normal 25_NFS31" xfId="2121" xr:uid="{81ED2861-60F5-4407-8213-5DBE48472985}"/>
    <cellStyle name="Normal 26" xfId="183" xr:uid="{F45C39FC-17EE-46B1-9C2D-D4D79E9E2282}"/>
    <cellStyle name="Normal 26 10" xfId="628" xr:uid="{549FFF03-EC50-4561-9065-49D736180B8D}"/>
    <cellStyle name="Normal 26 11" xfId="7320" xr:uid="{5E92E3D9-5341-4317-AF0F-337363133C73}"/>
    <cellStyle name="Normal 26 2" xfId="375" xr:uid="{F5235C03-9AF3-4BBB-9E41-F4BE3266D8AE}"/>
    <cellStyle name="Normal 26 2 2" xfId="1543" xr:uid="{CABBBC72-3DC1-4FAC-9563-1AF1A475B353}"/>
    <cellStyle name="Normal 26 2 2 2" xfId="2483" xr:uid="{E1FD1E2A-05FD-48EC-9F04-4389B6689F46}"/>
    <cellStyle name="Normal 26 2 2 3" xfId="2741" xr:uid="{8CFA5DB2-49BD-4F91-9CAC-0DAABB9D86A8}"/>
    <cellStyle name="Normal 26 2 2 4" xfId="2254" xr:uid="{E8E3D19B-863B-43E7-BC01-6BEA5C18CA8B}"/>
    <cellStyle name="Normal 26 2 3" xfId="2329" xr:uid="{42D79AB1-9299-4B30-8328-1796543A6683}"/>
    <cellStyle name="Normal 26 2 3 2" xfId="4440" xr:uid="{ACDD9A09-296A-4DA5-8BA4-36015DC22508}"/>
    <cellStyle name="Normal 26 2 4" xfId="2386" xr:uid="{8F456D78-BF12-4FE0-BBA4-A56FFB547188}"/>
    <cellStyle name="Normal 26 2 4 2" xfId="3977" xr:uid="{C778EFC7-94C9-4A9E-A0AC-6B158C7B8CD6}"/>
    <cellStyle name="Normal 26 2 5" xfId="2092" xr:uid="{BDCFEF92-8D28-4CB5-BC71-71E063395380}"/>
    <cellStyle name="Normal 26 2 6" xfId="3026" xr:uid="{B8A2998E-EFDE-4BCA-BBC1-07A58B9072D7}"/>
    <cellStyle name="Normal 26 2 7" xfId="702" xr:uid="{32D108A5-D4A7-4836-AACC-EE81FDEC250C}"/>
    <cellStyle name="Normal 26 3" xfId="1501" xr:uid="{6EAB1C94-48DD-46EE-8C12-F5A4C49A6802}"/>
    <cellStyle name="Normal 26 3 10" xfId="5313" xr:uid="{109D1D00-67D9-4DF8-97EE-5F6150E43F53}"/>
    <cellStyle name="Normal 26 3 2" xfId="1770" xr:uid="{F6D6B145-FFEE-47F2-86B9-4CAFA2D598D1}"/>
    <cellStyle name="Normal 26 3 2 2" xfId="3108" xr:uid="{21721175-7471-4605-8137-C51EBC6EC2FB}"/>
    <cellStyle name="Normal 26 3 2 2 2" xfId="3203" xr:uid="{011AA2F7-D072-40FF-998E-83D657B8CBA4}"/>
    <cellStyle name="Normal 26 3 2 2 2 2" xfId="4611" xr:uid="{AEA8FF11-C97D-4E56-B5FC-6D15F738F1F9}"/>
    <cellStyle name="Normal 26 3 2 2 3" xfId="3610" xr:uid="{692C42CE-0E93-427F-AA17-A84BAE28191F}"/>
    <cellStyle name="Normal 26 3 2 2 3 2" xfId="4831" xr:uid="{CBDFEB1D-4D9A-4754-8D49-31610DE9B79C}"/>
    <cellStyle name="Normal 26 3 2 2 4" xfId="3918" xr:uid="{DEA4D5F5-A1BF-4D60-A731-847ABC69A01E}"/>
    <cellStyle name="Normal 26 3 2 3" xfId="3158" xr:uid="{DE0CD27F-8D11-4D37-BA16-4BBBEA4B836B}"/>
    <cellStyle name="Normal 26 3 2 3 2" xfId="4566" xr:uid="{DDE3AD38-7F9B-4EBD-AB89-5A0E230112C2}"/>
    <cellStyle name="Normal 26 3 2 4" xfId="3551" xr:uid="{C77A75F0-F2EC-4FDE-AB42-A3460CA3915D}"/>
    <cellStyle name="Normal 26 3 2 4 2" xfId="4781" xr:uid="{AE3BDC06-654F-44F2-B892-6BF340BD4191}"/>
    <cellStyle name="Normal 26 3 2 5" xfId="3870" xr:uid="{3AE9BC1E-02B6-4623-B381-D6FCA3A99141}"/>
    <cellStyle name="Normal 26 3 2 6" xfId="4479" xr:uid="{53CECB4F-8D95-4CA8-9675-82E430688295}"/>
    <cellStyle name="Normal 26 3 2 7" xfId="4306" xr:uid="{4CA3A05F-29CF-4BD5-8ADB-75127AC9DA47}"/>
    <cellStyle name="Normal 26 3 2 8" xfId="3054" xr:uid="{28778A1B-CE14-4877-B6BD-204C45066F05}"/>
    <cellStyle name="Normal 26 3 3" xfId="2731" xr:uid="{2CA9670B-929B-432C-BB60-AC3AC0FF0065}"/>
    <cellStyle name="Normal 26 3 3 2" xfId="3182" xr:uid="{2FFF3225-7FC1-42A7-A4E8-96AF45241371}"/>
    <cellStyle name="Normal 26 3 3 2 2" xfId="4590" xr:uid="{88D05AF2-D635-4F12-BA15-E988BB24CCDC}"/>
    <cellStyle name="Normal 26 3 3 3" xfId="3589" xr:uid="{11F618FC-3F6C-4E96-A932-0C760B69BB36}"/>
    <cellStyle name="Normal 26 3 3 3 2" xfId="4810" xr:uid="{33158460-C40D-47A8-BC3D-0E18147C1C15}"/>
    <cellStyle name="Normal 26 3 3 4" xfId="3897" xr:uid="{089C32CF-D9CA-406F-AA88-8DA357E99730}"/>
    <cellStyle name="Normal 26 3 3 5" xfId="3087" xr:uid="{9A1D4DBB-43D5-4341-B22A-6011C15A4898}"/>
    <cellStyle name="Normal 26 3 4" xfId="3137" xr:uid="{3A5DAEB2-8AA3-4263-AA6B-BCFC8BBD04D6}"/>
    <cellStyle name="Normal 26 3 4 2" xfId="4545" xr:uid="{C8DE74F1-1AD5-407F-95FC-135EA17B91EB}"/>
    <cellStyle name="Normal 26 3 5" xfId="3515" xr:uid="{AD1AAA00-EB6C-48DE-A9E7-9D565A431618}"/>
    <cellStyle name="Normal 26 3 5 2" xfId="4758" xr:uid="{79AF5EF2-1CB3-44CF-AFEB-98A8DD6854C6}"/>
    <cellStyle name="Normal 26 3 6" xfId="3849" xr:uid="{CB61F79A-5A34-4290-9059-D7DC38521F4A}"/>
    <cellStyle name="Normal 26 3 7" xfId="4457" xr:uid="{7E66F87C-C921-4868-9B19-24C8480361C0}"/>
    <cellStyle name="Normal 26 3 8" xfId="4181" xr:uid="{2DED4770-AD10-48A5-A4D0-EFA5685ED284}"/>
    <cellStyle name="Normal 26 3 9" xfId="3033" xr:uid="{C39B3B23-31E6-4234-84C3-8A3442BD39D3}"/>
    <cellStyle name="Normal 26 4" xfId="1733" xr:uid="{690C278F-2B07-4ACA-BF4B-6E64C4CEF486}"/>
    <cellStyle name="Normal 26 4 2" xfId="2299" xr:uid="{1370620C-4AF4-46B1-A937-13EB395ACB92}"/>
    <cellStyle name="Normal 26 4 2 2" xfId="2528" xr:uid="{76155367-A288-42FD-A710-BEDAC734CC7F}"/>
    <cellStyle name="Normal 26 4 2 3" xfId="4881" xr:uid="{15758873-6AFE-485D-B94A-779278F91F00}"/>
    <cellStyle name="Normal 26 4 3" xfId="2433" xr:uid="{95D9B726-81B8-4884-AA48-6088B4CEE9B5}"/>
    <cellStyle name="Normal 26 4 3 2" xfId="4293" xr:uid="{1FE4C1AC-FD0C-4D4F-B930-246796523597}"/>
    <cellStyle name="Normal 26 4 4" xfId="2849" xr:uid="{B5CD8BFE-483D-461E-AB55-9B01245D6FEF}"/>
    <cellStyle name="Normal 26 4 5" xfId="2178" xr:uid="{64D43EA5-5A37-4DDA-8009-F722D2187BCF}"/>
    <cellStyle name="Normal 26 4 6" xfId="3672" xr:uid="{7C2B2D46-95A5-4F53-BD86-22D8B72579B4}"/>
    <cellStyle name="Normal 26 5" xfId="2233" xr:uid="{2862C1F5-120E-4228-9B69-823BEE61A994}"/>
    <cellStyle name="Normal 26 5 2" xfId="2463" xr:uid="{CB78B548-6349-461C-AE32-13EA317006D0}"/>
    <cellStyle name="Normal 26 5 3" xfId="4433" xr:uid="{D59D40B2-2173-4DB5-83B1-99419BE73A67}"/>
    <cellStyle name="Normal 26 6" xfId="2328" xr:uid="{D036485D-551A-40FB-BE51-57EAAE01BBE1}"/>
    <cellStyle name="Normal 26 7" xfId="2366" xr:uid="{22FD4D93-1113-4361-9142-2F0AB7DDACB7}"/>
    <cellStyle name="Normal 26 8" xfId="2070" xr:uid="{9F7034FB-311D-4105-83E2-6CD07E308BEB}"/>
    <cellStyle name="Normal 26 9" xfId="3020" xr:uid="{897A402D-A612-439A-8B9E-BF312AF4D4BE}"/>
    <cellStyle name="Normal 26_NFS31" xfId="2104" xr:uid="{B7413B14-2DC6-43CE-9C26-2841A2BCB654}"/>
    <cellStyle name="Normal 261" xfId="1617" xr:uid="{6D928B74-BC4B-48E0-A4E0-4C0D60F159FC}"/>
    <cellStyle name="Normal 27" xfId="184" xr:uid="{FC9EC4AC-B2B0-4E4A-8886-397CAF72F658}"/>
    <cellStyle name="Normal 27 10" xfId="787" xr:uid="{B7F05653-61A0-4FC9-8F17-D4FD0BDBE123}"/>
    <cellStyle name="Normal 27 2" xfId="376" xr:uid="{F534D894-8748-4EB9-A25F-DAAC73C986CD}"/>
    <cellStyle name="Normal 27 2 10" xfId="1083" xr:uid="{16AAB4BF-31A2-4E74-BA64-8232676EF24F}"/>
    <cellStyle name="Normal 27 2 2" xfId="1544" xr:uid="{C783F0C8-1BDA-4E6B-8DD3-C619800C613C}"/>
    <cellStyle name="Normal 27 2 2 2" xfId="1852" xr:uid="{DE552AF1-B058-43AE-A55C-61AF63F3271D}"/>
    <cellStyle name="Normal 27 2 2 2 2" xfId="2939" xr:uid="{D780A588-85CB-4FF5-8B43-CFEC2EC79339}"/>
    <cellStyle name="Normal 27 2 2 2 2 2" xfId="4616" xr:uid="{11F04249-C5E2-4C37-A7B5-7A009F527FCC}"/>
    <cellStyle name="Normal 27 2 2 2 2 2 2" xfId="6872" xr:uid="{8237D1C1-4791-46D6-95BE-94638FE9215A}"/>
    <cellStyle name="Normal 27 2 2 2 2 3" xfId="3208" xr:uid="{53FEE752-F61D-4AC7-8CC4-C322DF1EF6E1}"/>
    <cellStyle name="Normal 27 2 2 2 3" xfId="2488" xr:uid="{31101887-C32E-4D26-90EE-A5E667738926}"/>
    <cellStyle name="Normal 27 2 2 2 3 2" xfId="4836" xr:uid="{4C1A42D2-C762-41C8-96AC-DB68BFDF396A}"/>
    <cellStyle name="Normal 27 2 2 2 3 3" xfId="3615" xr:uid="{05C1D940-EE0F-46FC-9368-5F929AD168E9}"/>
    <cellStyle name="Normal 27 2 2 2 4" xfId="3923" xr:uid="{B4F2B5DF-2201-43E0-BA1E-D0EA7C42ADD1}"/>
    <cellStyle name="Normal 27 2 2 2 4 2" xfId="6501" xr:uid="{0AEEA533-B246-4F25-81F3-F9BD8BA30427}"/>
    <cellStyle name="Normal 27 2 2 2 5" xfId="4521" xr:uid="{A8DCD44A-B75C-4536-AA7B-B57D3C15C406}"/>
    <cellStyle name="Normal 27 2 2 2 6" xfId="3113" xr:uid="{84639013-57E6-4572-9120-6B3F12A2027B}"/>
    <cellStyle name="Normal 27 2 2 2 7" xfId="5177" xr:uid="{3A4372BB-99D3-4F4C-9F64-1DCEEC9172CC}"/>
    <cellStyle name="Normal 27 2 2 3" xfId="1802" xr:uid="{A9FFDDBC-DDBF-4D3B-A744-B338973765D3}"/>
    <cellStyle name="Normal 27 2 2 3 2" xfId="2891" xr:uid="{4E359283-E6EE-420E-8D06-7AE5D3FE91F7}"/>
    <cellStyle name="Normal 27 2 2 3 2 2" xfId="4571" xr:uid="{6FC160FE-64BA-4E42-B747-24CD97775D54}"/>
    <cellStyle name="Normal 27 2 2 3 2 2 2" xfId="6829" xr:uid="{6FF8B64B-E15E-4E15-83FD-A879B8778DC1}"/>
    <cellStyle name="Normal 27 2 2 3 2 3" xfId="6288" xr:uid="{8ED3B844-8B68-483A-B883-F37BEE363100}"/>
    <cellStyle name="Normal 27 2 2 3 3" xfId="4325" xr:uid="{DBDBAE2F-71A2-47D5-8621-A45664042CA9}"/>
    <cellStyle name="Normal 27 2 2 3 3 2" xfId="6657" xr:uid="{8686F380-96C5-48D8-923D-C73827008738}"/>
    <cellStyle name="Normal 27 2 2 3 4" xfId="3163" xr:uid="{51B53E03-992A-4F22-A484-A51931618B68}"/>
    <cellStyle name="Normal 27 2 2 3 4 2" xfId="6462" xr:uid="{6607B568-F8E5-43E2-9EEE-DC044E365D55}"/>
    <cellStyle name="Normal 27 2 2 3 5" xfId="5130" xr:uid="{10F35714-1A40-46C8-966A-D8F0B2141A69}"/>
    <cellStyle name="Normal 27 2 2 4" xfId="2742" xr:uid="{F43D1620-6BA1-477B-B1BD-D698981E12B0}"/>
    <cellStyle name="Normal 27 2 2 4 2" xfId="4786" xr:uid="{66E5428F-F991-48D2-940D-F13D1CB4BF36}"/>
    <cellStyle name="Normal 27 2 2 4 3" xfId="3556" xr:uid="{29760270-ACAD-41F3-ACB2-212C158662EE}"/>
    <cellStyle name="Normal 27 2 2 5" xfId="2259" xr:uid="{B3BAF45A-5CBB-4543-A873-CA9402B76383}"/>
    <cellStyle name="Normal 27 2 2 5 2" xfId="3875" xr:uid="{439A3990-B33C-4EC3-B73B-471069BBEA10}"/>
    <cellStyle name="Normal 27 2 2 6" xfId="4482" xr:uid="{DDF444AA-4ED3-4758-902F-52FDE75221A3}"/>
    <cellStyle name="Normal 27 2 2 7" xfId="4195" xr:uid="{12E317CF-7EE6-40FF-B43D-44E6AF704812}"/>
    <cellStyle name="Normal 27 2 2 8" xfId="3059" xr:uid="{0B93736B-E49E-409F-81D2-FD40F4EEA00C}"/>
    <cellStyle name="Normal 27 2 3" xfId="1819" xr:uid="{E9101B8F-58DB-47C8-AFAA-57AD1C8B1609}"/>
    <cellStyle name="Normal 27 2 3 2" xfId="1868" xr:uid="{13D73177-5A16-4BC8-977D-6D95198EB72C}"/>
    <cellStyle name="Normal 27 2 3 2 2" xfId="2955" xr:uid="{C21C2C86-8DC8-49D8-A951-71E6EEC888A9}"/>
    <cellStyle name="Normal 27 2 3 2 2 2" xfId="4595" xr:uid="{CF6064ED-60CC-49DE-AD53-4844040DA47E}"/>
    <cellStyle name="Normal 27 2 3 2 2 2 2" xfId="6888" xr:uid="{52CA19A9-9535-4D05-A1E8-FD5F1EE6C123}"/>
    <cellStyle name="Normal 27 2 3 2 2 3" xfId="6338" xr:uid="{989515EE-3B24-4A20-9648-A62F7004030E}"/>
    <cellStyle name="Normal 27 2 3 2 3" xfId="4375" xr:uid="{003C558B-2927-4B80-8146-3AD491436EAF}"/>
    <cellStyle name="Normal 27 2 3 2 3 2" xfId="6688" xr:uid="{775A00A7-24FA-4A6F-894E-761AD6BB5037}"/>
    <cellStyle name="Normal 27 2 3 2 4" xfId="3187" xr:uid="{8B10ACDE-CB1B-4364-ACDF-FBBDC10FD9DF}"/>
    <cellStyle name="Normal 27 2 3 2 4 2" xfId="6516" xr:uid="{C6D2F106-0C7D-4CE8-B7C6-C59DE81B5261}"/>
    <cellStyle name="Normal 27 2 3 2 5" xfId="5193" xr:uid="{231B3940-97D3-42B4-A971-1D2A8FD6EED7}"/>
    <cellStyle name="Normal 27 2 3 3" xfId="2907" xr:uid="{17764184-C825-4C1F-976D-596C62ADA578}"/>
    <cellStyle name="Normal 27 2 3 3 2" xfId="4815" xr:uid="{9F8113EE-8904-4E3F-BB5F-828B28966882}"/>
    <cellStyle name="Normal 27 2 3 3 2 2" xfId="6845" xr:uid="{374789C3-AFB4-4BED-A2BE-EF2AF5150A35}"/>
    <cellStyle name="Normal 27 2 3 3 3" xfId="3594" xr:uid="{5A280940-2DFE-4464-9CF0-74BE36CCCA70}"/>
    <cellStyle name="Normal 27 2 3 4" xfId="2391" xr:uid="{6165BDBD-50E2-46C3-8BFD-5F4D7EB822F9}"/>
    <cellStyle name="Normal 27 2 3 4 2" xfId="3902" xr:uid="{403CB5D5-503C-4585-A736-367FC458225F}"/>
    <cellStyle name="Normal 27 2 3 5" xfId="4508" xr:uid="{321B8535-2CA8-436D-AB99-BE5DF020B09A}"/>
    <cellStyle name="Normal 27 2 3 5 2" xfId="6475" xr:uid="{1A80EEDA-B19E-4442-8F92-F3F727D13BAB}"/>
    <cellStyle name="Normal 27 2 3 6" xfId="3092" xr:uid="{AB3609B7-3EE7-4273-BC2D-6F652A502B99}"/>
    <cellStyle name="Normal 27 2 3 7" xfId="5146" xr:uid="{4A047833-09F4-4CD9-AFEC-72D5DCB87732}"/>
    <cellStyle name="Normal 27 2 4" xfId="1836" xr:uid="{37159737-563D-4D4E-96D4-58CF0C39B525}"/>
    <cellStyle name="Normal 27 2 4 2" xfId="2924" xr:uid="{49AFD230-43E4-4BE5-9415-3EE5B795EFA3}"/>
    <cellStyle name="Normal 27 2 4 2 2" xfId="4550" xr:uid="{1F58FCFA-6FAA-492A-A68C-40FFB74A96DC}"/>
    <cellStyle name="Normal 27 2 4 2 2 2" xfId="6860" xr:uid="{0A1C430E-5363-4178-AEBE-7ABB6CAFE678}"/>
    <cellStyle name="Normal 27 2 4 2 3" xfId="6313" xr:uid="{107AA530-5CB5-4005-815C-FB0D4285BD80}"/>
    <cellStyle name="Normal 27 2 4 3" xfId="4350" xr:uid="{4EA9862B-08C2-449A-B0CF-CD0005659389}"/>
    <cellStyle name="Normal 27 2 4 3 2" xfId="6671" xr:uid="{FE40A70E-CB3D-4514-B23F-5FED05A1E160}"/>
    <cellStyle name="Normal 27 2 4 4" xfId="3142" xr:uid="{F9B858CE-067D-48B7-9B0D-97F48D98C62C}"/>
    <cellStyle name="Normal 27 2 4 4 2" xfId="6490" xr:uid="{2FE61988-99DA-4CDA-AD0D-69CF1A5044C9}"/>
    <cellStyle name="Normal 27 2 4 5" xfId="5162" xr:uid="{E9A73709-0203-4942-9954-0861D2C79EE7}"/>
    <cellStyle name="Normal 27 2 5" xfId="1771" xr:uid="{4D822FB9-4CAB-4D65-9B97-A8B468B13295}"/>
    <cellStyle name="Normal 27 2 5 2" xfId="2867" xr:uid="{FD2E27A4-45F2-4553-A782-017DF1971BF5}"/>
    <cellStyle name="Normal 27 2 5 2 2" xfId="4763" xr:uid="{CF4F2189-DC0C-4065-9F9D-E7B3974B2A08}"/>
    <cellStyle name="Normal 27 2 5 2 2 2" xfId="6815" xr:uid="{AE231B42-CFED-47C3-B7B6-6581B24B9432}"/>
    <cellStyle name="Normal 27 2 5 2 3" xfId="6276" xr:uid="{6321F52D-A866-45CE-9B05-84FF28F4E52F}"/>
    <cellStyle name="Normal 27 2 5 3" xfId="4307" xr:uid="{A2B7DF8E-9A40-4716-B39C-6816EBDB68A6}"/>
    <cellStyle name="Normal 27 2 5 3 2" xfId="6648" xr:uid="{C34DD2A9-79CB-4307-AE20-DD3F58D7EE75}"/>
    <cellStyle name="Normal 27 2 5 4" xfId="3520" xr:uid="{1E099FEA-60FF-4E87-84E5-909FD265C7BF}"/>
    <cellStyle name="Normal 27 2 5 4 2" xfId="6448" xr:uid="{DF30E552-5FAD-4094-9B4D-B421A20F7883}"/>
    <cellStyle name="Normal 27 2 5 5" xfId="5115" xr:uid="{C6343CC0-2F8C-4266-8123-4036AB08CBA8}"/>
    <cellStyle name="Normal 27 2 6" xfId="2631" xr:uid="{4DD0F392-FB61-461A-B454-542DB8275CED}"/>
    <cellStyle name="Normal 27 2 6 2" xfId="3854" xr:uid="{46B5EFF6-0ADC-4B9C-8181-E2B9AEB5DFEC}"/>
    <cellStyle name="Normal 27 2 7" xfId="2097" xr:uid="{E9EB98AF-A252-4455-8B17-A33CD170F915}"/>
    <cellStyle name="Normal 27 2 7 2" xfId="4462" xr:uid="{226A865A-B164-468C-A73C-6CF5AA43EB2A}"/>
    <cellStyle name="Normal 27 2 8" xfId="4018" xr:uid="{87CB4211-370D-4358-BB87-151CE94574F5}"/>
    <cellStyle name="Normal 27 2 9" xfId="3038" xr:uid="{8215ED8A-CFFC-4013-8E2D-0ABAB9BADBF2}"/>
    <cellStyle name="Normal 27 3" xfId="1502" xr:uid="{C6925E91-BD68-48B4-A13D-A9CF665F8D29}"/>
    <cellStyle name="Normal 27 3 2" xfId="2732" xr:uid="{51A8349B-62AA-4297-AD64-14D7BB7BFDA0}"/>
    <cellStyle name="Normal 27 3 2 2" xfId="4882" xr:uid="{C48A01C4-2945-4117-9A43-3291413BF7E7}"/>
    <cellStyle name="Normal 27 3 3" xfId="2142" xr:uid="{FEB30506-F2F2-491D-BBAC-6766488BAA4D}"/>
    <cellStyle name="Normal 27 3 3 2" xfId="4182" xr:uid="{395C9B0A-BF2D-4913-959C-A544C860077E}"/>
    <cellStyle name="Normal 27 3 4" xfId="3673" xr:uid="{9FD3D887-E719-4FC0-B977-AEF84DC37DF2}"/>
    <cellStyle name="Normal 27 4" xfId="1734" xr:uid="{5A6386BB-8229-472C-A1C3-2C9863254B96}"/>
    <cellStyle name="Normal 27 4 2" xfId="2850" xr:uid="{2F57AD37-4BEF-4B01-B06B-B114432A1C58}"/>
    <cellStyle name="Normal 27 4 3" xfId="2123" xr:uid="{8AD2E9C4-8132-4C00-84E8-91DDD472D80C}"/>
    <cellStyle name="Normal 27 5" xfId="2238" xr:uid="{309BEFA9-F97D-4476-B64F-A703C9B31A31}"/>
    <cellStyle name="Normal 27 5 2" xfId="2468" xr:uid="{21BBB16F-FBF2-44DA-B91D-F33453FB52C2}"/>
    <cellStyle name="Normal 27 5 3" xfId="3978" xr:uid="{118CE8C9-991C-49F5-9E82-60F49569B4FE}"/>
    <cellStyle name="Normal 27 6" xfId="2330" xr:uid="{B95F9AE7-EA21-4F50-9617-95798C6ADE01}"/>
    <cellStyle name="Normal 27 7" xfId="2371" xr:uid="{E7AF3D08-FD11-497B-A0B4-C4E478FFF6F6}"/>
    <cellStyle name="Normal 27 8" xfId="2075" xr:uid="{7F68A8AE-3013-42C4-BE82-EA4D8F8B0D1E}"/>
    <cellStyle name="Normal 27 9" xfId="5254" xr:uid="{E30033F0-8649-4C01-ADAC-A35FA0E1DAEF}"/>
    <cellStyle name="Normal 27_NFS31" xfId="2122" xr:uid="{D39B01FF-C867-4D6C-A7D3-93EC08AA1C7F}"/>
    <cellStyle name="Normal 28" xfId="185" xr:uid="{BCA797BD-4CDC-40F4-BF9E-ECEA35900810}"/>
    <cellStyle name="Normal 28 2" xfId="377" xr:uid="{E6BE3013-0305-410E-9304-A1750A01EFF4}"/>
    <cellStyle name="Normal 28 2 10" xfId="5348" xr:uid="{F3008365-7A9F-4CCE-8457-6113B4A39208}"/>
    <cellStyle name="Normal 28 2 11" xfId="1545" xr:uid="{BF249786-F8F1-416E-A3A6-124E1C835BC6}"/>
    <cellStyle name="Normal 28 2 2" xfId="2261" xr:uid="{DEBDDEB8-9EDF-4CBE-8EF8-EF4906879852}"/>
    <cellStyle name="Normal 28 2 2 2" xfId="2490" xr:uid="{BF6E034A-32F0-4B9F-9F36-D46DF664C1F1}"/>
    <cellStyle name="Normal 28 2 2 2 2" xfId="3210" xr:uid="{308FF811-A4D7-4169-8586-7A6E9E463575}"/>
    <cellStyle name="Normal 28 2 2 2 2 2" xfId="4618" xr:uid="{A6B626D5-63AF-41DC-AA41-7FA82D7CAE15}"/>
    <cellStyle name="Normal 28 2 2 2 3" xfId="3617" xr:uid="{78039BE2-88BE-425B-AB96-4F51DA61C673}"/>
    <cellStyle name="Normal 28 2 2 2 3 2" xfId="4838" xr:uid="{B449AE3B-6C0F-4A08-A6EA-2DCB68F9A7AB}"/>
    <cellStyle name="Normal 28 2 2 2 4" xfId="3925" xr:uid="{3934B4CE-D720-475A-B547-3690F1904219}"/>
    <cellStyle name="Normal 28 2 2 2 5" xfId="3115" xr:uid="{78742337-8455-4B8A-8C6A-9E0825C99991}"/>
    <cellStyle name="Normal 28 2 2 3" xfId="3165" xr:uid="{A1BCBF23-FA46-4CE1-896C-ECD692DEC9E0}"/>
    <cellStyle name="Normal 28 2 2 3 2" xfId="4573" xr:uid="{3B7F1E25-908B-4F50-8704-751FD1E0B798}"/>
    <cellStyle name="Normal 28 2 2 4" xfId="3558" xr:uid="{7E67F6F7-9E86-4953-B346-28AA4CDE990C}"/>
    <cellStyle name="Normal 28 2 2 4 2" xfId="4788" xr:uid="{4823D956-8D0C-4303-88E0-1B58A37CA376}"/>
    <cellStyle name="Normal 28 2 2 5" xfId="3877" xr:uid="{E6A38BAD-111C-4061-97D2-ADCA92A4F891}"/>
    <cellStyle name="Normal 28 2 2 6" xfId="3061" xr:uid="{D03245F0-3701-4903-BA23-F10898B93C07}"/>
    <cellStyle name="Normal 28 2 2 7" xfId="5406" xr:uid="{E4EB24F5-EF10-45B7-9905-651D13B38CAC}"/>
    <cellStyle name="Normal 28 2 3" xfId="2393" xr:uid="{47E32F91-B60C-4DCF-B250-D706F2DEB45B}"/>
    <cellStyle name="Normal 28 2 3 2" xfId="3189" xr:uid="{BE2973BF-E643-4462-B60B-9A93359EFE15}"/>
    <cellStyle name="Normal 28 2 3 2 2" xfId="4597" xr:uid="{4C80AFC1-A357-472F-A602-5522099FBF8E}"/>
    <cellStyle name="Normal 28 2 3 3" xfId="3596" xr:uid="{49561DEE-E60A-4475-8208-FFFB8A0E507D}"/>
    <cellStyle name="Normal 28 2 3 3 2" xfId="4817" xr:uid="{7D17D1F0-6215-4CDE-99E9-0F5AC4B71CF9}"/>
    <cellStyle name="Normal 28 2 3 4" xfId="3904" xr:uid="{1510459E-A810-4ED1-9FF0-8F99EB202FC0}"/>
    <cellStyle name="Normal 28 2 3 5" xfId="3094" xr:uid="{AD2DCEC0-60BA-4316-88CE-A0091B49F319}"/>
    <cellStyle name="Normal 28 2 4" xfId="2743" xr:uid="{BD87AB06-8FB0-45E1-8C3D-EE6F06F17349}"/>
    <cellStyle name="Normal 28 2 4 2" xfId="4552" xr:uid="{90BE892C-7FBC-4FB2-BB4F-B50448D152DF}"/>
    <cellStyle name="Normal 28 2 4 3" xfId="3144" xr:uid="{A494307C-1E10-40AA-8415-3369E338A34D}"/>
    <cellStyle name="Normal 28 2 5" xfId="2099" xr:uid="{B22D1AA6-5173-4E7A-9335-8E83391F6C30}"/>
    <cellStyle name="Normal 28 2 5 2" xfId="4765" xr:uid="{197433CD-521E-4C40-9BEA-54636819D68C}"/>
    <cellStyle name="Normal 28 2 5 3" xfId="3523" xr:uid="{0480D3D3-E723-42C9-90F8-D7BE9543B7C2}"/>
    <cellStyle name="Normal 28 2 6" xfId="3856" xr:uid="{5C0B0F93-4235-44FD-9F4C-E3017FB8E004}"/>
    <cellStyle name="Normal 28 2 7" xfId="4464" xr:uid="{6CCC260B-D6E4-4CCD-BBCC-6877F4A832A5}"/>
    <cellStyle name="Normal 28 2 8" xfId="4196" xr:uid="{70C8BA57-4528-42E1-AA20-A50CA92B8033}"/>
    <cellStyle name="Normal 28 2 9" xfId="3040" xr:uid="{E3359771-936F-4ECF-B37C-E06D57461840}"/>
    <cellStyle name="Normal 28 3" xfId="1503" xr:uid="{2F37E16A-E59D-4EEE-ACAE-E124E08945E6}"/>
    <cellStyle name="Normal 28 3 2" xfId="2733" xr:uid="{D12FCF01-4009-4DBD-ADA7-AF801032B0CF}"/>
    <cellStyle name="Normal 28 3 2 2" xfId="4883" xr:uid="{6433DD3C-B49D-410D-9F9B-C8051071D5DD}"/>
    <cellStyle name="Normal 28 3 3" xfId="2179" xr:uid="{B8F1E39C-81A1-4796-8DEF-AFB48E8179B7}"/>
    <cellStyle name="Normal 28 3 3 2" xfId="4183" xr:uid="{0B44E6F2-94EB-47CE-ADA8-B6310BF3A077}"/>
    <cellStyle name="Normal 28 3 4" xfId="3674" xr:uid="{22C82882-5405-4D57-965B-0A9B02718337}"/>
    <cellStyle name="Normal 28 3 5" xfId="5376" xr:uid="{B6377E30-329E-44D6-B5FF-FF0F45F63DDF}"/>
    <cellStyle name="Normal 28 4" xfId="2240" xr:uid="{C2434F62-D6E5-4834-8BDC-A2090BD8F314}"/>
    <cellStyle name="Normal 28 4 2" xfId="2470" xr:uid="{5677DF88-F93B-4E33-BDC9-38E3808E246D}"/>
    <cellStyle name="Normal 28 5" xfId="2331" xr:uid="{2E0C6256-6C6F-4539-858F-CC2BBA4BE9E8}"/>
    <cellStyle name="Normal 28 6" xfId="2373" xr:uid="{A8851DD0-C8A3-45A6-8925-D5D118AD6887}"/>
    <cellStyle name="Normal 28 7" xfId="2077" xr:uid="{5556D56E-EA32-4388-A7EC-4D45C03DC441}"/>
    <cellStyle name="Normal 28 8" xfId="5312" xr:uid="{2FED47EA-2306-4659-A156-C72D7E4F230D}"/>
    <cellStyle name="Normal 28 9" xfId="332" xr:uid="{EBEB0CBE-A22B-4031-9B7A-9DF2678E6815}"/>
    <cellStyle name="Normal 29" xfId="186" xr:uid="{4DEBDA25-1F9F-4482-B07E-E91408ED31A5}"/>
    <cellStyle name="Normal 29 2" xfId="378" xr:uid="{2FF57776-EDC1-4695-B98F-D345F62ED436}"/>
    <cellStyle name="Normal 29 2 2" xfId="2744" xr:uid="{604F36A3-3A1D-48E5-97FC-62E708EDE610}"/>
    <cellStyle name="Normal 29 2 2 2" xfId="4884" xr:uid="{1ED3EDD7-E811-459F-BF89-42CBE0CCF042}"/>
    <cellStyle name="Normal 29 2 3" xfId="2334" xr:uid="{DA7DE1E5-220A-429E-8C6C-3A2925C9FDDE}"/>
    <cellStyle name="Normal 29 2 3 2" xfId="4197" xr:uid="{F8AF21E4-12CD-4B97-8389-8632012D760C}"/>
    <cellStyle name="Normal 29 2 4" xfId="3675" xr:uid="{A3E6C4CE-7546-44D9-A06E-58118B69A20C}"/>
    <cellStyle name="Normal 29 2 5" xfId="1546" xr:uid="{6764D0E7-20A8-45AD-B532-9646E145DD2F}"/>
    <cellStyle name="Normal 29 3" xfId="1504" xr:uid="{7E7E99A3-5322-4F95-9638-7119658CDD70}"/>
    <cellStyle name="Normal 29 4" xfId="1755" xr:uid="{43856AE1-2C5B-4AE0-A490-73ECD855EB27}"/>
    <cellStyle name="Normal 29 5" xfId="3985" xr:uid="{217DF3F0-F2FE-42FB-B437-40AFAE8A6935}"/>
    <cellStyle name="Normal 29 6" xfId="5315" xr:uid="{69F3EB66-ABBF-4A61-92CD-62D111F7F416}"/>
    <cellStyle name="Normal 29 7" xfId="1009" xr:uid="{47F64DCE-E1EC-415F-8ECA-8C9C1BCE6CBD}"/>
    <cellStyle name="Normal 3" xfId="12" xr:uid="{CFC8346C-B9BB-499F-94DB-FE23AA9FF3F1}"/>
    <cellStyle name="Normal 3 10" xfId="7297" xr:uid="{BC088A98-00A6-4C06-9006-277C3850BDD8}"/>
    <cellStyle name="Normal 3 11" xfId="7337" xr:uid="{676939EF-55E0-4585-A22A-0AF0CDAB4B84}"/>
    <cellStyle name="Normal 3 2" xfId="13" xr:uid="{59A9C8B4-8DD5-4533-A798-FA9AC5384B61}"/>
    <cellStyle name="Normal 3 2 2" xfId="380" xr:uid="{890A8F3F-E6AE-494A-B41F-895E616F0754}"/>
    <cellStyle name="Normal 3 2 2 2" xfId="5434" xr:uid="{A6DC482D-DAE1-4D14-BA94-1B68A2C1DE08}"/>
    <cellStyle name="Normal 3 2 2 3" xfId="3677" xr:uid="{1A7067D0-C6CB-48EC-9F6E-3650A6B90718}"/>
    <cellStyle name="Normal 3 2 2 4" xfId="7313" xr:uid="{B8B0C371-8C8C-47C6-8247-A25E1FD58D12}"/>
    <cellStyle name="Normal 3 2 3" xfId="5614" xr:uid="{07DC32B4-2829-42E2-96FA-C17AC7F69FD5}"/>
    <cellStyle name="Normal 3 2 3 2" xfId="7249" xr:uid="{5A9EDEE8-B2E7-4F05-8A7D-B85C2D8D2328}"/>
    <cellStyle name="Normal 3 2 4" xfId="681" xr:uid="{71B4BF08-AF69-4E36-A141-ACDDC486A8B0}"/>
    <cellStyle name="Normal 3 2 4 2" xfId="7068" xr:uid="{0D9B1300-1BE6-4659-A160-931F8187A37A}"/>
    <cellStyle name="Normal 3 2 5" xfId="842" xr:uid="{DEC6F2BE-2B05-406C-B4F4-2424ED252B59}"/>
    <cellStyle name="Normal 3 2 5 2" xfId="7152" xr:uid="{1F204E39-C26E-4B86-9B1F-CF90E60E552A}"/>
    <cellStyle name="Normal 3 2 6" xfId="7266" xr:uid="{82C354AB-85F8-490C-84BF-77D030564CE8}"/>
    <cellStyle name="Normal 3 2 7" xfId="7037" xr:uid="{3E421EA7-9C67-4852-9202-9A4E828D70F3}"/>
    <cellStyle name="Normal 3 3" xfId="16" xr:uid="{C90E2259-F5B6-42B5-8273-4C1DD9A1230E}"/>
    <cellStyle name="Normal 3 3 2" xfId="381" xr:uid="{CB94A01C-4765-4525-95CC-825495BE32CD}"/>
    <cellStyle name="Normal 3 3 2 2" xfId="2778" xr:uid="{18E1C8A2-6B3F-4982-8E53-02AEB93BC6E0}"/>
    <cellStyle name="Normal 3 3 2 2 2" xfId="5959" xr:uid="{D3B8173C-BFC4-4B97-875F-41ECF27F07B2}"/>
    <cellStyle name="Normal 3 3 2 3" xfId="5557" xr:uid="{83F54B36-A1F2-415C-AB60-DD5BF56343D3}"/>
    <cellStyle name="Normal 3 3 2 3 2" xfId="5876" xr:uid="{713E2AC7-2A79-4C51-B332-F7C910BEE2DB}"/>
    <cellStyle name="Normal 3 3 2 4" xfId="1631" xr:uid="{F1A20701-B8F4-4E26-8DE1-27114027EEFC}"/>
    <cellStyle name="Normal 3 3 2 5" xfId="7287" xr:uid="{CA658DC6-06FF-4072-919B-E01E5F8947B0}"/>
    <cellStyle name="Normal 3 3 3" xfId="1725" xr:uid="{FBFB9A7B-B880-4F60-9E48-3370EC6E8BAA}"/>
    <cellStyle name="Normal 3 3 3 2" xfId="2846" xr:uid="{9D221636-5824-42D1-8160-EE67CFCF6B5D}"/>
    <cellStyle name="Normal 3 3 3 3" xfId="2345" xr:uid="{71DE3AF4-8E03-4257-AF9C-46D2A932E8D2}"/>
    <cellStyle name="Normal 3 3 4" xfId="2151" xr:uid="{D35AA7CD-A2E1-4E30-99D7-7A28C718CFB1}"/>
    <cellStyle name="Normal 3 3 5" xfId="1024" xr:uid="{318F6D73-A982-46C3-ADDB-2201095D1D15}"/>
    <cellStyle name="Normal 3 3 6" xfId="7104" xr:uid="{B4E6E6B3-F765-458B-B65C-D92F5320A3E1}"/>
    <cellStyle name="Normal 3 4" xfId="23" xr:uid="{C6CACB32-E3F1-4B60-95B3-7831CB7862F1}"/>
    <cellStyle name="Normal 3 4 2" xfId="382" xr:uid="{EA86A47B-3566-4091-9350-FB7B8A635760}"/>
    <cellStyle name="Normal 3 4 2 2" xfId="4885" xr:uid="{317EDEAD-C3A4-45A6-99C3-E3CC5C58374B}"/>
    <cellStyle name="Normal 3 4 3" xfId="4298" xr:uid="{826B41CD-242B-4B78-A16F-B623BB3FFC1B}"/>
    <cellStyle name="Normal 3 4 4" xfId="3678" xr:uid="{F5BE1B05-C496-4132-B1CC-99D42A7A7EE6}"/>
    <cellStyle name="Normal 3 4 5" xfId="1750" xr:uid="{38EEDDF5-333A-4A70-8E53-CB34C460D2B1}"/>
    <cellStyle name="Normal 3 4 6" xfId="7124" xr:uid="{52279DD2-BFAA-4710-B319-07BE0A5BDCE8}"/>
    <cellStyle name="Normal 3 5" xfId="515" xr:uid="{E2AD52EA-2B4C-4E49-9562-A8EDFEAFF424}"/>
    <cellStyle name="Normal 3 5 2" xfId="5433" xr:uid="{0E2D7E70-9D40-4991-A7E3-A74F56C8CE0C}"/>
    <cellStyle name="Normal 3 5 3" xfId="3679" xr:uid="{08395A5A-BDB8-4425-BF6D-30899A691524}"/>
    <cellStyle name="Normal 3 5 4" xfId="7179" xr:uid="{5AD7E1E9-72C6-40C1-865C-5D7A951338C2}"/>
    <cellStyle name="Normal 3 5 5" xfId="7161" xr:uid="{6ED18DB1-7AEF-417D-A05A-DFEFB97EFE40}"/>
    <cellStyle name="Normal 3 6" xfId="593" xr:uid="{A5431A08-653B-49FB-A2CB-4EDD973F1130}"/>
    <cellStyle name="Normal 3 6 2" xfId="5609" xr:uid="{0C1132DD-F7C3-475A-95B9-1530139754EB}"/>
    <cellStyle name="Normal 3 6 3" xfId="3676" xr:uid="{FA5D3DF9-C72D-40A5-B9E8-2E01EA24CA1C}"/>
    <cellStyle name="Normal 3 7" xfId="379" xr:uid="{F5C1C7CA-E07F-411C-AD14-A0DC061A8E68}"/>
    <cellStyle name="Normal 3 7 2" xfId="951" xr:uid="{845F1569-AA4D-4B90-9D7A-66528EDA0604}"/>
    <cellStyle name="Normal 3 8" xfId="763" xr:uid="{D093F459-081C-4C5C-8D65-9EE3457F8B9E}"/>
    <cellStyle name="Normal 3 9" xfId="7292" xr:uid="{9CC5EDDF-BF52-4CBE-BF03-C77E324A95AA}"/>
    <cellStyle name="Normal 3_Bank Recconcile 14 Oct 2016" xfId="3680" xr:uid="{40A88179-A602-4E2A-AB9F-17CD4CCCC5D0}"/>
    <cellStyle name="Normal 30" xfId="187" xr:uid="{567A8FCD-88C8-4FC4-983F-65C3FF08009E}"/>
    <cellStyle name="Normal 30 10" xfId="5004" xr:uid="{3C623236-07C3-4EC8-8FB3-5DB6DADA2F28}"/>
    <cellStyle name="Normal 30 10 2" xfId="6345" xr:uid="{B9589801-AB73-49FC-BE6E-D3E100A68EAE}"/>
    <cellStyle name="Normal 30 11" xfId="5320" xr:uid="{63279202-11BA-4A23-B5F9-87308B6239BE}"/>
    <cellStyle name="Normal 30 12" xfId="1011" xr:uid="{29B33E28-8ED5-4C88-AB0E-4D7BC4E6BD5F}"/>
    <cellStyle name="Normal 30 2" xfId="383" xr:uid="{AC4223E5-4725-4381-80E6-11CF161C21AB}"/>
    <cellStyle name="Normal 30 2 10" xfId="5008" xr:uid="{B365C4E7-DEFD-462E-B28B-EB8E0DE1F9D7}"/>
    <cellStyle name="Normal 30 2 10 2" xfId="6555" xr:uid="{9C0249EF-8A26-4736-8C7B-E2CCFD4B3F0A}"/>
    <cellStyle name="Normal 30 2 11" xfId="5258" xr:uid="{DCC1AB85-05F0-4FAC-9827-502E2EA509F8}"/>
    <cellStyle name="Normal 30 2 11 2" xfId="6348" xr:uid="{EF692788-DBB5-4B2D-9FF8-9586D6758DD0}"/>
    <cellStyle name="Normal 30 2 12" xfId="6069" xr:uid="{67B5FE06-AF8D-418D-8962-AC2CC679E383}"/>
    <cellStyle name="Normal 30 2 13" xfId="1015" xr:uid="{57C6FC8F-9A59-447F-AA5D-BBA77DA01A64}"/>
    <cellStyle name="Normal 30 2 2" xfId="1034" xr:uid="{3BE18339-5EAB-4BB7-82FB-011DFDE91FBC}"/>
    <cellStyle name="Normal 30 2 2 2" xfId="1173" xr:uid="{5543C8F0-91A1-46E6-8144-0FD2111A005F}"/>
    <cellStyle name="Normal 30 2 2 2 2" xfId="2667" xr:uid="{6C6B2493-8431-45C9-AC9E-6C691132058A}"/>
    <cellStyle name="Normal 30 2 2 2 2 2" xfId="5751" xr:uid="{30D0FCBF-2B66-4B20-82E4-D678673C6559}"/>
    <cellStyle name="Normal 30 2 2 2 2 2 2" xfId="6745" xr:uid="{4E7E4D93-2A6E-40B1-A341-1192DADC95C9}"/>
    <cellStyle name="Normal 30 2 2 2 2 3" xfId="6206" xr:uid="{5010EA60-33A7-4808-B554-93C4A63CE920}"/>
    <cellStyle name="Normal 30 2 2 2 3" xfId="2559" xr:uid="{A3BBB4EF-4308-4279-B753-A8AD374B0A42}"/>
    <cellStyle name="Normal 30 2 2 2 3 2" xfId="6587" xr:uid="{D00CFC54-246A-4877-BEC6-97CD890DCEC1}"/>
    <cellStyle name="Normal 30 2 2 2 4" xfId="4075" xr:uid="{98A583BD-73F5-4181-A796-E35224095FB7}"/>
    <cellStyle name="Normal 30 2 2 2 4 2" xfId="6378" xr:uid="{A447B5A1-99DA-4099-B961-17AAA0657DA1}"/>
    <cellStyle name="Normal 30 2 2 2 5" xfId="5045" xr:uid="{E4B09CCA-3230-4416-A3EC-4958CE6173EE}"/>
    <cellStyle name="Normal 30 2 2 2 6" xfId="5387" xr:uid="{5503CDB7-8CF2-4A3F-BB24-DAB0E0A4B854}"/>
    <cellStyle name="Normal 30 2 2 3" xfId="1904" xr:uid="{F104C893-E812-4B60-8199-CA4FAD385C3A}"/>
    <cellStyle name="Normal 30 2 2 3 2" xfId="2982" xr:uid="{FA464879-34A9-4B5E-86E0-7CCE5C09A57D}"/>
    <cellStyle name="Normal 30 2 2 3 2 2" xfId="6720" xr:uid="{7D8839A3-B6A6-4AFC-8D1D-F4740608C4DC}"/>
    <cellStyle name="Normal 30 2 2 3 3" xfId="4402" xr:uid="{8FAFC379-18DC-421B-B2A2-ED8477A4A27C}"/>
    <cellStyle name="Normal 30 2 2 3 3 2" xfId="6536" xr:uid="{D7233C1A-C339-4768-BF5B-70DAB358B338}"/>
    <cellStyle name="Normal 30 2 2 3 4" xfId="5219" xr:uid="{FD26DB46-8643-4407-9A6A-5F19F8AFCE73}"/>
    <cellStyle name="Normal 30 2 2 4" xfId="2608" xr:uid="{DF451765-C882-4E8A-A901-E455F82C3746}"/>
    <cellStyle name="Normal 30 2 2 4 2" xfId="6569" xr:uid="{DC78D509-E739-401E-9C09-8698C7332D8D}"/>
    <cellStyle name="Normal 30 2 2 5" xfId="2350" xr:uid="{295287AC-763A-445A-8AB6-B6C5608AC137}"/>
    <cellStyle name="Normal 30 2 2 5 2" xfId="6355" xr:uid="{420305B5-63E6-4F14-9ADB-A8CC14400768}"/>
    <cellStyle name="Normal 30 2 2 6" xfId="4000" xr:uid="{5F4E9F31-68F5-484C-887D-A7E358CB3420}"/>
    <cellStyle name="Normal 30 2 2 7" xfId="5016" xr:uid="{8F048FF8-1096-4759-858D-8FC275A1FA44}"/>
    <cellStyle name="Normal 30 2 2 8" xfId="5329" xr:uid="{429F5119-4121-4748-8DE8-D5F8BAE7DFEF}"/>
    <cellStyle name="Normal 30 2 3" xfId="1119" xr:uid="{D660BFFA-1084-425C-A3AA-AD75CB977F9A}"/>
    <cellStyle name="Normal 30 2 3 2" xfId="1915" xr:uid="{F174CB79-DC1C-4140-AE38-B2BB604658B6}"/>
    <cellStyle name="Normal 30 2 3 2 2" xfId="2991" xr:uid="{555B6A4B-0EE3-43C2-8F39-8D24E42DA9EA}"/>
    <cellStyle name="Normal 30 2 3 2 2 2" xfId="6727" xr:uid="{85AA944D-9B33-4F5A-B63D-7483042BF0DF}"/>
    <cellStyle name="Normal 30 2 3 2 3" xfId="2550" xr:uid="{F798997F-145E-4A5C-A259-76D01C6F726B}"/>
    <cellStyle name="Normal 30 2 3 2 3 2" xfId="6544" xr:uid="{568E03EE-DE41-4567-B482-213D2FF193EE}"/>
    <cellStyle name="Normal 30 2 3 2 4" xfId="4408" xr:uid="{073F6F88-9E53-4090-AD19-C95EBFA84A12}"/>
    <cellStyle name="Normal 30 2 3 2 5" xfId="5228" xr:uid="{4BFA830E-A9F5-4D14-B277-D1FBBED9F03C}"/>
    <cellStyle name="Normal 30 2 3 3" xfId="2638" xr:uid="{CB2A6D29-C975-4A3E-9AC4-744FD9842B18}"/>
    <cellStyle name="Normal 30 2 3 3 2" xfId="6573" xr:uid="{D1687267-4E6B-4C18-8AAF-18808A199707}"/>
    <cellStyle name="Normal 30 2 3 4" xfId="2339" xr:uid="{03422A95-DE4C-4FC2-BA35-A9C5ECA71D77}"/>
    <cellStyle name="Normal 30 2 3 4 2" xfId="6362" xr:uid="{B9DE2F64-D907-4972-B7C0-BABA9A0447B0}"/>
    <cellStyle name="Normal 30 2 3 5" xfId="4035" xr:uid="{B540AFC0-B4CB-40CD-B180-B38569F37939}"/>
    <cellStyle name="Normal 30 2 3 6" xfId="5025" xr:uid="{4B981746-D9A6-471A-8095-6D2A9AF159A7}"/>
    <cellStyle name="Normal 30 2 3 7" xfId="5357" xr:uid="{A59EC20E-2CE1-4131-BE65-3D45581B1960}"/>
    <cellStyle name="Normal 30 2 4" xfId="1160" xr:uid="{58F88CE7-AB06-4941-8147-736AECAB20AF}"/>
    <cellStyle name="Normal 30 2 4 2" xfId="2658" xr:uid="{7575EBBC-545F-4EFE-A397-184F9BDF7F45}"/>
    <cellStyle name="Normal 30 2 4 2 2" xfId="5745" xr:uid="{A8C9F350-2D30-4A17-815B-DDDB41769B20}"/>
    <cellStyle name="Normal 30 2 4 2 2 2" xfId="6738" xr:uid="{E41EB73A-E306-4BBF-8AB4-266B81321737}"/>
    <cellStyle name="Normal 30 2 4 2 3" xfId="6199" xr:uid="{A214FE68-5424-478E-9327-52C5E034033D}"/>
    <cellStyle name="Normal 30 2 4 3" xfId="4066" xr:uid="{9E4763AE-1C9A-4F68-9BE1-F8286E1F8A55}"/>
    <cellStyle name="Normal 30 2 4 3 2" xfId="6581" xr:uid="{2D41B2C5-C3F4-4E16-AE4D-0D6C7F802E42}"/>
    <cellStyle name="Normal 30 2 4 4" xfId="5037" xr:uid="{E1692F2F-70B1-4BAC-9FE3-642EA66C4B8C}"/>
    <cellStyle name="Normal 30 2 4 4 2" xfId="6371" xr:uid="{048422AF-BAA7-44B7-BBF0-6C1D717361D5}"/>
    <cellStyle name="Normal 30 2 4 5" xfId="6087" xr:uid="{FC881587-F63C-445C-8AD5-D3AE86B6DA9E}"/>
    <cellStyle name="Normal 30 2 5" xfId="1547" xr:uid="{6B547653-FF47-4896-8CB0-5AA5DE7FE9C9}"/>
    <cellStyle name="Normal 30 2 6" xfId="1762" xr:uid="{076A22D5-A448-41A7-868F-5BFA05150161}"/>
    <cellStyle name="Normal 30 2 7" xfId="1896" xr:uid="{0761889F-82DB-4363-8D8E-D0BA2F3B6D99}"/>
    <cellStyle name="Normal 30 2 7 2" xfId="2974" xr:uid="{BACF8049-DAB6-45C2-B87B-96943695BDF7}"/>
    <cellStyle name="Normal 30 2 7 2 2" xfId="5742" xr:uid="{87B5B7DE-5197-4787-BF0E-7FFDCC21BC36}"/>
    <cellStyle name="Normal 30 2 7 2 2 2" xfId="6712" xr:uid="{4A15E642-662C-4BFA-B001-9342DB2AFEAB}"/>
    <cellStyle name="Normal 30 2 7 2 3" xfId="6189" xr:uid="{F9C3E102-45A6-404C-B1A3-3FDBB16EBFA4}"/>
    <cellStyle name="Normal 30 2 7 3" xfId="4394" xr:uid="{85687516-8A03-443E-819E-CEC1CFA5C66C}"/>
    <cellStyle name="Normal 30 2 7 3 2" xfId="6563" xr:uid="{301F61BE-4C8E-48BD-A458-9A19A2896566}"/>
    <cellStyle name="Normal 30 2 7 4" xfId="5211" xr:uid="{1594554F-5A5C-4185-B7F9-4067CF79BE85}"/>
    <cellStyle name="Normal 30 2 7 4 2" xfId="6528" xr:uid="{1E7FB9B7-6191-4ECF-BBAC-A596B69A5776}"/>
    <cellStyle name="Normal 30 2 7 5" xfId="6076" xr:uid="{22212592-C76A-4687-A9F3-FF69D66B9A36}"/>
    <cellStyle name="Normal 30 2 8" xfId="2595" xr:uid="{3C4D0F6A-D43D-4B74-8D04-9D0527D44C5A}"/>
    <cellStyle name="Normal 30 2 8 2" xfId="4886" xr:uid="{FD2D8DA6-31F4-44D4-A8C6-8A31ECB2D7EC}"/>
    <cellStyle name="Normal 30 2 8 2 2" xfId="6697" xr:uid="{F2C5BDEA-5BD4-4B76-BEF4-74DF1D5FC1DC}"/>
    <cellStyle name="Normal 30 2 8 2 3" xfId="5729" xr:uid="{A786F865-5FF0-4865-8CA1-5563D35BC1BB}"/>
    <cellStyle name="Normal 30 2 8 3" xfId="6175" xr:uid="{FD4BD245-59CF-4C45-A8CF-2FB8B7361482}"/>
    <cellStyle name="Normal 30 2 9" xfId="2182" xr:uid="{DA2FE02A-340F-4E93-9C1B-8BAE042DB0E6}"/>
    <cellStyle name="Normal 30 2 9 2" xfId="3989" xr:uid="{7E1990BD-C794-41D4-8DCA-05194BA180F4}"/>
    <cellStyle name="Normal 30 2 9 2 2" xfId="6703" xr:uid="{0CD74FB7-D171-4B1D-846D-467C4E8ED950}"/>
    <cellStyle name="Normal 30 2 9 3" xfId="6181" xr:uid="{CC993BDF-7103-4199-BC0C-D4110B08E7B1}"/>
    <cellStyle name="Normal 30 3" xfId="1016" xr:uid="{7767FC33-CCE4-4478-B5B6-D046298EE2A0}"/>
    <cellStyle name="Normal 30 3 2" xfId="1805" xr:uid="{62872C9C-5269-4784-BD3B-B5BF3EECB3E2}"/>
    <cellStyle name="Normal 30 3 2 2" xfId="1855" xr:uid="{21EC9BCF-390A-4A73-AB4E-035743A20C14}"/>
    <cellStyle name="Normal 30 3 2 2 2" xfId="2942" xr:uid="{A29A0F3A-5B71-4E54-A4B3-E8FC9FBFDB9C}"/>
    <cellStyle name="Normal 30 3 2 2 2 2" xfId="5841" xr:uid="{3E7041BF-C918-4F6D-8E79-DB228C66E677}"/>
    <cellStyle name="Normal 30 3 2 2 2 2 2" xfId="6875" xr:uid="{C1A0485D-5AA6-4178-84B5-1C4F509EA515}"/>
    <cellStyle name="Normal 30 3 2 2 2 3" xfId="6325" xr:uid="{E0484B03-5969-4456-91D8-8088C813545C}"/>
    <cellStyle name="Normal 30 3 2 2 3" xfId="4362" xr:uid="{963CB063-56A8-47BB-8544-5F2656D65216}"/>
    <cellStyle name="Normal 30 3 2 2 3 2" xfId="6680" xr:uid="{FB4A5616-67FB-4F30-8979-6F3DE9A4B5ED}"/>
    <cellStyle name="Normal 30 3 2 2 4" xfId="5180" xr:uid="{E87B350A-703F-47C0-B193-8D169CB82D31}"/>
    <cellStyle name="Normal 30 3 2 2 4 2" xfId="6503" xr:uid="{44D686B1-3E2F-4B89-8EDE-D6F0FA4C6FE0}"/>
    <cellStyle name="Normal 30 3 2 2 5" xfId="6163" xr:uid="{18B35D3B-739B-45AD-B1E8-4D144825C76D}"/>
    <cellStyle name="Normal 30 3 2 3" xfId="2894" xr:uid="{D2248A51-DF33-4E9C-B940-528E7E30EC33}"/>
    <cellStyle name="Normal 30 3 2 3 2" xfId="5821" xr:uid="{E696750A-F476-4414-B138-97E83076F2A6}"/>
    <cellStyle name="Normal 30 3 2 3 2 2" xfId="6832" xr:uid="{3C382502-A659-48AF-8AB8-7568106399A8}"/>
    <cellStyle name="Normal 30 3 2 3 3" xfId="6291" xr:uid="{6CD983D4-B433-40C0-91C1-1E501741BAB0}"/>
    <cellStyle name="Normal 30 3 2 4" xfId="4328" xr:uid="{D7D5223A-EE18-4BCF-BE00-83E248398EF4}"/>
    <cellStyle name="Normal 30 3 2 4 2" xfId="6660" xr:uid="{76B29A67-BE49-435E-A878-D053078F4FCF}"/>
    <cellStyle name="Normal 30 3 2 5" xfId="5133" xr:uid="{CDBFC9FE-FB15-4907-A42D-277B70143B61}"/>
    <cellStyle name="Normal 30 3 2 5 2" xfId="6465" xr:uid="{208BE7AE-7467-4DFD-A46E-2F7C5D2ED307}"/>
    <cellStyle name="Normal 30 3 2 6" xfId="5409" xr:uid="{BDC6B9AA-A9EB-4A02-B584-7BA4843D0A9B}"/>
    <cellStyle name="Normal 30 3 3" xfId="1822" xr:uid="{1EE460E6-D69A-4536-81EF-CB0E9ED65057}"/>
    <cellStyle name="Normal 30 3 3 2" xfId="1871" xr:uid="{F5780BAF-7DD9-49BF-AD8F-D603BBBF3262}"/>
    <cellStyle name="Normal 30 3 3 2 2" xfId="2958" xr:uid="{AB1B35EF-E3B2-4BAC-BA0A-6E4CB592F8B2}"/>
    <cellStyle name="Normal 30 3 3 2 2 2" xfId="5850" xr:uid="{7E606D98-69B5-46B3-A7C4-E1D001AB6393}"/>
    <cellStyle name="Normal 30 3 3 2 2 2 2" xfId="6891" xr:uid="{4E24A52B-4370-48F9-9FB9-88748C32BD3D}"/>
    <cellStyle name="Normal 30 3 3 2 2 3" xfId="6341" xr:uid="{8312EB10-444E-4A59-AEE4-A7CFF24BC6FD}"/>
    <cellStyle name="Normal 30 3 3 2 3" xfId="4378" xr:uid="{9C2A49D5-087A-48F5-89D9-FE10FD57E24F}"/>
    <cellStyle name="Normal 30 3 3 2 3 2" xfId="6691" xr:uid="{3714D18F-2A5E-4EFF-9972-D242A79BFFAD}"/>
    <cellStyle name="Normal 30 3 3 2 4" xfId="5196" xr:uid="{1656449D-7BA5-4EE0-A580-7B05D72621E0}"/>
    <cellStyle name="Normal 30 3 3 2 4 2" xfId="6519" xr:uid="{7307E7EE-F9DD-4CBD-8958-C302977BE174}"/>
    <cellStyle name="Normal 30 3 3 2 5" xfId="6169" xr:uid="{69CF0F80-A805-44FE-AFFE-B3AB73631213}"/>
    <cellStyle name="Normal 30 3 3 3" xfId="2910" xr:uid="{CCECDA4A-07AC-4BF7-B5ED-D42C0DC9E9ED}"/>
    <cellStyle name="Normal 30 3 3 3 2" xfId="5828" xr:uid="{580A917A-AD1D-4347-ABA9-9D34F1552D4A}"/>
    <cellStyle name="Normal 30 3 3 3 2 2" xfId="6848" xr:uid="{42BC352D-F5B6-4DC5-B8C8-C748ACF755EA}"/>
    <cellStyle name="Normal 30 3 3 3 3" xfId="6302" xr:uid="{A7660A95-CE76-420D-ADDF-F98C47EF9D48}"/>
    <cellStyle name="Normal 30 3 3 4" xfId="4338" xr:uid="{D1416F05-5CCF-479C-BAB7-10D59D5A3AB4}"/>
    <cellStyle name="Normal 30 3 3 4 2" xfId="6666" xr:uid="{F20C7BC1-E60C-478F-9A4C-E18AB2C02ECC}"/>
    <cellStyle name="Normal 30 3 3 5" xfId="5149" xr:uid="{4B83C569-3BAF-4516-B695-1A8412B9BED6}"/>
    <cellStyle name="Normal 30 3 3 5 2" xfId="6478" xr:uid="{FD5A40D7-7FB2-4889-B633-C23573BAAFD3}"/>
    <cellStyle name="Normal 30 3 3 6" xfId="6150" xr:uid="{1E9DBB01-AA5D-48F9-B60D-1F4632A9F99A}"/>
    <cellStyle name="Normal 30 3 4" xfId="1839" xr:uid="{F238A01C-C25D-44BF-8EF2-CEC8D8EEE4E4}"/>
    <cellStyle name="Normal 30 3 4 2" xfId="2927" xr:uid="{063594F6-5CA1-4C09-A14B-C89671B431DB}"/>
    <cellStyle name="Normal 30 3 4 2 2" xfId="5835" xr:uid="{B68402DE-7CB7-4716-A5FD-F823B0DE52F8}"/>
    <cellStyle name="Normal 30 3 4 2 2 2" xfId="6863" xr:uid="{FCA25446-6AF2-4D38-B742-D92895BC631B}"/>
    <cellStyle name="Normal 30 3 4 2 3" xfId="6316" xr:uid="{8C69BF93-AB44-4599-A4E9-FC981A870F6B}"/>
    <cellStyle name="Normal 30 3 4 3" xfId="4353" xr:uid="{4B8F2240-3690-44FB-930F-62CC1C3A6E80}"/>
    <cellStyle name="Normal 30 3 4 3 2" xfId="6674" xr:uid="{D77B3CE9-0A32-4498-83B9-9E6FFB157ECB}"/>
    <cellStyle name="Normal 30 3 4 4" xfId="5165" xr:uid="{1980D800-0E22-446A-91BA-2221D463E5AC}"/>
    <cellStyle name="Normal 30 3 4 4 2" xfId="6493" xr:uid="{B738A3A7-CA03-4A83-9C5D-68D1A5D99B18}"/>
    <cellStyle name="Normal 30 3 4 5" xfId="6156" xr:uid="{8A79D660-994F-4965-99E0-94ECFC9E7639}"/>
    <cellStyle name="Normal 30 3 5" xfId="1775" xr:uid="{8868787C-E819-4E1B-B5B5-6101CDE394AD}"/>
    <cellStyle name="Normal 30 3 5 2" xfId="2871" xr:uid="{6EE8EE99-A096-4FFD-8B0C-68340F8B1DC2}"/>
    <cellStyle name="Normal 30 3 5 2 2" xfId="5815" xr:uid="{FE602258-2645-45A0-9610-912B3F28615F}"/>
    <cellStyle name="Normal 30 3 5 2 2 2" xfId="6818" xr:uid="{B25F535B-661C-474F-B3D4-8D8E7BFEE689}"/>
    <cellStyle name="Normal 30 3 5 2 3" xfId="6279" xr:uid="{4F101D3C-0F75-4BE6-BF57-2091E0ED4A92}"/>
    <cellStyle name="Normal 30 3 5 3" xfId="4310" xr:uid="{9DEAAFE3-CC78-4409-BC7E-48DFB3173639}"/>
    <cellStyle name="Normal 30 3 5 3 2" xfId="6651" xr:uid="{4728A4AE-4A6B-45F7-B3DC-1D507AC0DCCE}"/>
    <cellStyle name="Normal 30 3 5 4" xfId="5118" xr:uid="{82B95E07-1DA7-45AD-82F3-60371BB9C124}"/>
    <cellStyle name="Normal 30 3 5 4 2" xfId="6451" xr:uid="{D6158465-6FE8-4745-B6F5-ADFC65FD0609}"/>
    <cellStyle name="Normal 30 3 5 5" xfId="6142" xr:uid="{56F1939A-4A9D-43D3-9D9F-ECE9A71D642F}"/>
    <cellStyle name="Normal 30 3 6" xfId="5351" xr:uid="{D74A3379-9582-4686-B882-4D7A43DCE6C0}"/>
    <cellStyle name="Normal 30 4" xfId="1115" xr:uid="{88771FDF-A111-4178-8F50-EEAC0281DE89}"/>
    <cellStyle name="Normal 30 4 2" xfId="1911" xr:uid="{F066BDE8-B09C-4C3A-AB53-96B5E3D22F13}"/>
    <cellStyle name="Normal 30 4 2 2" xfId="2987" xr:uid="{81A93C50-76C3-4D48-8132-23A8D0AECD45}"/>
    <cellStyle name="Normal 30 4 2 2 2" xfId="6723" xr:uid="{E14E31F2-7BAD-40C2-B7B7-BE0700F2D932}"/>
    <cellStyle name="Normal 30 4 2 3" xfId="2546" xr:uid="{8F8E72C5-A0CE-4395-A423-B71A33D6F898}"/>
    <cellStyle name="Normal 30 4 2 3 2" xfId="6541" xr:uid="{26DCD199-F1E9-4B15-91C5-ABC0D4324386}"/>
    <cellStyle name="Normal 30 4 2 4" xfId="4405" xr:uid="{DDB2003A-63ED-457C-B7C4-B440DFC23DD1}"/>
    <cellStyle name="Normal 30 4 2 5" xfId="5224" xr:uid="{5EC384F9-12DA-4C54-8416-20B68029302E}"/>
    <cellStyle name="Normal 30 4 3" xfId="2634" xr:uid="{E8DF8913-D67B-4A30-9A82-686C405B11B8}"/>
    <cellStyle name="Normal 30 4 3 2" xfId="6570" xr:uid="{4A4A670E-19BD-4EFE-8110-45FFD1CE22EF}"/>
    <cellStyle name="Normal 30 4 4" xfId="2335" xr:uid="{1D64AB18-3CCE-44F7-8673-27208875CE11}"/>
    <cellStyle name="Normal 30 4 4 2" xfId="6360" xr:uid="{C317AAB3-BD1F-4000-AB35-0FA0D62F994A}"/>
    <cellStyle name="Normal 30 4 5" xfId="4033" xr:uid="{F25FC5A9-59A7-4953-A65D-84831D321A1C}"/>
    <cellStyle name="Normal 30 4 6" xfId="5021" xr:uid="{828D834A-8011-403E-8EDB-04AD19182739}"/>
    <cellStyle name="Normal 30 4 7" xfId="5379" xr:uid="{BBCE4116-AC5D-4FAC-AAF3-89B797D02DDB}"/>
    <cellStyle name="Normal 30 5" xfId="1156" xr:uid="{028AF93F-6BD1-4CA8-831A-8E0022835AF5}"/>
    <cellStyle name="Normal 30 5 2" xfId="2654" xr:uid="{46D8DD80-72B2-4083-BAA3-7FC99A164C8A}"/>
    <cellStyle name="Normal 30 5 2 2" xfId="5743" xr:uid="{6505E107-E179-4DAC-8359-8A020AB85036}"/>
    <cellStyle name="Normal 30 5 2 2 2" xfId="6735" xr:uid="{1CBE28CD-8E63-48DC-953B-5A2FC6D5040F}"/>
    <cellStyle name="Normal 30 5 2 3" xfId="6196" xr:uid="{95EB0655-8E20-45EF-BF85-6CF421E247CD}"/>
    <cellStyle name="Normal 30 5 3" xfId="4062" xr:uid="{DAEBBB04-F71B-423B-970A-68679C6A7B62}"/>
    <cellStyle name="Normal 30 5 3 2" xfId="6579" xr:uid="{8FACB45D-0DB4-448A-8F0F-7B9200A88E4F}"/>
    <cellStyle name="Normal 30 5 4" xfId="5033" xr:uid="{BD25D863-1A48-42F2-8D6C-55640DF8B62D}"/>
    <cellStyle name="Normal 30 5 4 2" xfId="6368" xr:uid="{F0597C8A-A9DD-4AB4-9DA0-0582721B5677}"/>
    <cellStyle name="Normal 30 5 5" xfId="6085" xr:uid="{3673F014-7B02-45B0-BA35-654F9E0DB3B6}"/>
    <cellStyle name="Normal 30 6" xfId="1505" xr:uid="{57E40485-A4CB-4BD2-BDB5-9B616B4009CF}"/>
    <cellStyle name="Normal 30 7" xfId="1756" xr:uid="{6F81DBEE-E01F-40FA-890E-6EC1F5CBA684}"/>
    <cellStyle name="Normal 30 8" xfId="1892" xr:uid="{8DC7204B-8B26-4908-BA15-D874A575C941}"/>
    <cellStyle name="Normal 30 8 2" xfId="2970" xr:uid="{242EF056-B868-4A12-ACF6-69A882EB1A34}"/>
    <cellStyle name="Normal 30 8 2 2" xfId="6935" xr:uid="{7DB7F8B0-445B-48ED-ABDD-27A6E1356F8F}"/>
    <cellStyle name="Normal 30 8 3" xfId="4391" xr:uid="{3B2D6A2A-A620-44A2-B34D-6DAF9C97E3B3}"/>
    <cellStyle name="Normal 30 8 4" xfId="5207" xr:uid="{2D477134-A07F-49D2-8FA3-6F824BDD961A}"/>
    <cellStyle name="Normal 30 9" xfId="2591" xr:uid="{AB635590-47F3-42A6-A382-6FC2801EF5E0}"/>
    <cellStyle name="Normal 30 9 2" xfId="3987" xr:uid="{CB5D063E-6F76-4CC2-B774-6E614E187AE8}"/>
    <cellStyle name="Normal 31" xfId="188" xr:uid="{04CF12B0-8966-4C44-BFFA-D4E55FDABDDC}"/>
    <cellStyle name="Normal 31 10" xfId="5006" xr:uid="{DF906FD9-9517-458D-9423-171E9D3C8138}"/>
    <cellStyle name="Normal 31 10 2" xfId="5734" xr:uid="{B57B4488-4921-4BE9-B765-538218EAAF90}"/>
    <cellStyle name="Normal 31 10 2 2" xfId="6701" xr:uid="{C49AF862-95A8-4293-85FA-ECD1FB039A46}"/>
    <cellStyle name="Normal 31 10 3" xfId="6179" xr:uid="{099F90F2-73A5-4E68-BCB1-C74E9B672D98}"/>
    <cellStyle name="Normal 31 11" xfId="5256" xr:uid="{D1EC39FB-07EA-4D71-BB6B-3B930C9299A6}"/>
    <cellStyle name="Normal 31 11 2" xfId="6553" xr:uid="{A8DCC95E-1F67-451B-865A-C4F666025FC8}"/>
    <cellStyle name="Normal 31 12" xfId="5496" xr:uid="{7E55D495-991D-49D1-9A0A-BB9C8CF76DDD}"/>
    <cellStyle name="Normal 31 12 2" xfId="6346" xr:uid="{C9667E50-0287-4D21-A734-5D37C432A393}"/>
    <cellStyle name="Normal 31 13" xfId="6068" xr:uid="{39768F39-DC47-4D65-AE24-F15037BE33CB}"/>
    <cellStyle name="Normal 31 14" xfId="1013" xr:uid="{315BC8CE-3133-45B6-8B3E-714C208EB8DC}"/>
    <cellStyle name="Normal 31 2" xfId="253" xr:uid="{8994BE72-7728-42D0-932C-1258C228EC64}"/>
    <cellStyle name="Normal 31 2 10" xfId="5009" xr:uid="{3791E39E-8254-47BA-9983-56CD049000E7}"/>
    <cellStyle name="Normal 31 2 11" xfId="5327" xr:uid="{CD5DB036-C106-4BE7-B497-F889F0406EDD}"/>
    <cellStyle name="Normal 31 2 12" xfId="1017" xr:uid="{24F71403-67E5-4013-BFE7-814B861D0936}"/>
    <cellStyle name="Normal 31 2 2" xfId="1120" xr:uid="{8AC30522-C334-4602-ADB9-7FF9E7D2285F}"/>
    <cellStyle name="Normal 31 2 2 2" xfId="1916" xr:uid="{1F630CA3-0DF5-42F1-8335-66D6E2E970A3}"/>
    <cellStyle name="Normal 31 2 2 2 2" xfId="2992" xr:uid="{C770789F-C2A9-4972-925D-50614212A769}"/>
    <cellStyle name="Normal 31 2 2 2 2 2" xfId="6728" xr:uid="{FDBC8EE6-071B-4E4B-833E-809346B64936}"/>
    <cellStyle name="Normal 31 2 2 2 3" xfId="2551" xr:uid="{4E328828-9BE5-434F-A8F7-FCD92A205857}"/>
    <cellStyle name="Normal 31 2 2 2 3 2" xfId="6545" xr:uid="{8347AA63-2B66-4898-A0FA-2935F0607CF8}"/>
    <cellStyle name="Normal 31 2 2 2 4" xfId="4409" xr:uid="{E226F27E-24E5-4E69-92E7-722C93155362}"/>
    <cellStyle name="Normal 31 2 2 2 5" xfId="5229" xr:uid="{F6ABAADA-5C8F-4057-AD05-2756E67AA550}"/>
    <cellStyle name="Normal 31 2 2 3" xfId="2639" xr:uid="{6172C92F-A24E-424A-AE64-005AE9067505}"/>
    <cellStyle name="Normal 31 2 2 3 2" xfId="6574" xr:uid="{FF207A73-1672-41C8-89F9-778C71620A34}"/>
    <cellStyle name="Normal 31 2 2 4" xfId="2340" xr:uid="{489A9A47-A175-4631-8989-EACC71F6327D}"/>
    <cellStyle name="Normal 31 2 2 4 2" xfId="6363" xr:uid="{8A56253F-0F1A-4110-92A3-6E7E6A599880}"/>
    <cellStyle name="Normal 31 2 2 5" xfId="4036" xr:uid="{84EFF590-A0E6-4509-8037-50114FA95B6E}"/>
    <cellStyle name="Normal 31 2 2 6" xfId="5026" xr:uid="{E31402DC-9B0E-4D4F-B2BF-CFFA968EB20C}"/>
    <cellStyle name="Normal 31 2 2 7" xfId="5385" xr:uid="{AA8FCD0B-59C4-418B-8D5B-93F2A0CA885E}"/>
    <cellStyle name="Normal 31 2 3" xfId="1161" xr:uid="{8799FFCE-5823-4095-9591-6F295EF544CF}"/>
    <cellStyle name="Normal 31 2 3 2" xfId="2659" xr:uid="{2368049C-B3DB-4BF0-8AE6-F313133BA3DE}"/>
    <cellStyle name="Normal 31 2 3 2 2" xfId="5746" xr:uid="{DBBFB942-7EA3-41A4-824C-0785C7919D5B}"/>
    <cellStyle name="Normal 31 2 3 2 2 2" xfId="6739" xr:uid="{70A431C3-418C-4877-8344-E32E1A55B808}"/>
    <cellStyle name="Normal 31 2 3 2 3" xfId="6200" xr:uid="{C65B5FFF-8036-491F-9BAC-1EB63C68D4FB}"/>
    <cellStyle name="Normal 31 2 3 3" xfId="4067" xr:uid="{95961282-0D46-461B-A7B5-9E77B8BF6C17}"/>
    <cellStyle name="Normal 31 2 3 3 2" xfId="6582" xr:uid="{E82D8DD6-03F8-45F8-AB0D-BBC3A966177E}"/>
    <cellStyle name="Normal 31 2 3 4" xfId="5038" xr:uid="{FA8AFAA1-5F79-4BB5-958A-3A97F852CC8F}"/>
    <cellStyle name="Normal 31 2 3 4 2" xfId="6372" xr:uid="{7490A59B-4864-4DA2-9DEA-41074D4AD726}"/>
    <cellStyle name="Normal 31 2 3 5" xfId="6088" xr:uid="{341C6369-BDA7-44D0-A918-29FBB007B5EC}"/>
    <cellStyle name="Normal 31 2 4" xfId="1548" xr:uid="{633C04E3-5C78-491F-8B6B-F553DC74D097}"/>
    <cellStyle name="Normal 31 2 5" xfId="1795" xr:uid="{56B9594B-F4A8-4A34-83DC-CE502A51A34E}"/>
    <cellStyle name="Normal 31 2 6" xfId="1897" xr:uid="{2005FB0C-3820-4128-8CC8-A5524399DA53}"/>
    <cellStyle name="Normal 31 2 6 2" xfId="2975" xr:uid="{4A4F9B41-77F6-4697-9DF9-A858E446F650}"/>
    <cellStyle name="Normal 31 2 6 2 2" xfId="6713" xr:uid="{63157536-BEBC-4656-9CBF-745315A96D7B}"/>
    <cellStyle name="Normal 31 2 6 3" xfId="4395" xr:uid="{A61EF958-E9FB-471F-8830-7E9898EAE7E0}"/>
    <cellStyle name="Normal 31 2 6 3 2" xfId="6529" xr:uid="{AC8C2176-7A97-4328-8ECC-4FDC887C4DAC}"/>
    <cellStyle name="Normal 31 2 6 4" xfId="5212" xr:uid="{8E3BDED6-4645-43DC-ACDE-A3E1E327CE65}"/>
    <cellStyle name="Normal 31 2 7" xfId="2596" xr:uid="{DD01C92F-1DF5-4009-BD21-B6BA8B6D5808}"/>
    <cellStyle name="Normal 31 2 7 2" xfId="4887" xr:uid="{073BBA33-D352-426C-A9AB-D276359796E2}"/>
    <cellStyle name="Normal 31 2 7 2 2" xfId="6564" xr:uid="{EFCA109F-8B9B-4E66-95F7-AC8F86BDD752}"/>
    <cellStyle name="Normal 31 2 8" xfId="2184" xr:uid="{19658529-1D20-43D0-AA2F-FFCC979E76A4}"/>
    <cellStyle name="Normal 31 2 8 2" xfId="3990" xr:uid="{1697EC41-D2C9-445C-8E32-E81947FFA61D}"/>
    <cellStyle name="Normal 31 2 9" xfId="3681" xr:uid="{79BADD77-D95C-4E5B-9791-C3B8852DC70F}"/>
    <cellStyle name="Normal 31 2 9 2" xfId="6077" xr:uid="{0982554A-DDDA-4674-B397-25C633603A31}"/>
    <cellStyle name="Normal 31 3" xfId="1032" xr:uid="{0637210B-065C-43F6-AE4C-F85222BE11A7}"/>
    <cellStyle name="Normal 31 3 2" xfId="1171" xr:uid="{918AC963-C2C9-43A8-9A78-5FC358A02640}"/>
    <cellStyle name="Normal 31 3 2 2" xfId="2665" xr:uid="{76B6CAEC-1361-4001-B1ED-9A8D51333505}"/>
    <cellStyle name="Normal 31 3 2 2 2" xfId="5750" xr:uid="{CBDA6FF5-0FF2-46E9-9BEC-4AEFA6B0454D}"/>
    <cellStyle name="Normal 31 3 2 2 2 2" xfId="6743" xr:uid="{6FE868D1-A260-497F-BC0B-2F2F78DE051F}"/>
    <cellStyle name="Normal 31 3 2 2 3" xfId="6205" xr:uid="{26267960-E0B2-4EC1-AC02-CBD6776042FE}"/>
    <cellStyle name="Normal 31 3 2 3" xfId="2557" xr:uid="{88A2D0B4-2523-4DA0-B84A-ADB686335169}"/>
    <cellStyle name="Normal 31 3 2 3 2" xfId="6586" xr:uid="{A4A4F64B-7D03-4861-A637-8F3D0AA2C96A}"/>
    <cellStyle name="Normal 31 3 2 4" xfId="4073" xr:uid="{DFD7AFD3-3518-4F51-82A7-B4C9A344DFBB}"/>
    <cellStyle name="Normal 31 3 2 4 2" xfId="6376" xr:uid="{2A865DEC-56C5-402C-81C5-35914B23901D}"/>
    <cellStyle name="Normal 31 3 2 5" xfId="5043" xr:uid="{31FCA6B3-C114-411D-A601-72120CF825A6}"/>
    <cellStyle name="Normal 31 3 3" xfId="1902" xr:uid="{4134E011-2EFE-4C7E-B2AA-19C013194FB7}"/>
    <cellStyle name="Normal 31 3 3 2" xfId="2980" xr:uid="{4200AA09-E770-409C-9ED1-94A4998FEC36}"/>
    <cellStyle name="Normal 31 3 3 2 2" xfId="6718" xr:uid="{0725CADD-F842-4AE7-9298-D73A2FAAC4EC}"/>
    <cellStyle name="Normal 31 3 3 3" xfId="4400" xr:uid="{BFBC4C10-600B-4A15-A46E-E0B22D9135A5}"/>
    <cellStyle name="Normal 31 3 3 3 2" xfId="6534" xr:uid="{08D85E36-90FD-4FDF-9562-9E570A590B4F}"/>
    <cellStyle name="Normal 31 3 3 4" xfId="5217" xr:uid="{EB5066F4-FBF6-4B00-94DC-27C7F07E635F}"/>
    <cellStyle name="Normal 31 3 4" xfId="2606" xr:uid="{13FEDD62-73E3-49BB-83A3-3A1716F38E57}"/>
    <cellStyle name="Normal 31 3 4 2" xfId="6567" xr:uid="{E1E0ED05-D46E-47F1-9E69-E058B087B5D5}"/>
    <cellStyle name="Normal 31 3 5" xfId="2348" xr:uid="{B253412C-78AD-405F-B465-98ED227669D1}"/>
    <cellStyle name="Normal 31 3 5 2" xfId="6353" xr:uid="{5BCD3E80-A0B4-43DA-8DA4-2B9159F17B05}"/>
    <cellStyle name="Normal 31 3 6" xfId="3999" xr:uid="{D2B6039A-80A2-45C1-A96C-3D93F1D732A4}"/>
    <cellStyle name="Normal 31 3 7" xfId="5014" xr:uid="{777E3887-4919-4E8F-94CC-44D0559CDAF7}"/>
    <cellStyle name="Normal 31 3 8" xfId="5355" xr:uid="{85E9B3FB-4B5F-4FDC-BF69-57527C6034D9}"/>
    <cellStyle name="Normal 31 4" xfId="1117" xr:uid="{F1E9C497-DE36-4F98-AC62-9AFB443B402F}"/>
    <cellStyle name="Normal 31 4 2" xfId="1913" xr:uid="{B92B2D79-F296-4C96-885D-09883E38FD91}"/>
    <cellStyle name="Normal 31 4 2 2" xfId="2989" xr:uid="{E0DC9310-D2EB-4387-B623-A31BB676A4A8}"/>
    <cellStyle name="Normal 31 4 2 2 2" xfId="6725" xr:uid="{F4EB7ABD-E148-4AD4-B6E8-F6A83A26C141}"/>
    <cellStyle name="Normal 31 4 2 3" xfId="2548" xr:uid="{9D5E4D86-FAF2-40D2-BFAA-411841CF4C92}"/>
    <cellStyle name="Normal 31 4 2 3 2" xfId="6542" xr:uid="{B0FF186A-3DEA-436F-A5C2-E1F7AF906555}"/>
    <cellStyle name="Normal 31 4 2 4" xfId="4406" xr:uid="{0F971391-F137-4B2E-8C70-54DE6DA2AB45}"/>
    <cellStyle name="Normal 31 4 2 5" xfId="5226" xr:uid="{07495700-5004-4693-9F04-ADC03E79F2C1}"/>
    <cellStyle name="Normal 31 4 3" xfId="2636" xr:uid="{6C0B0F4F-6902-4203-BC3B-A3601A3207A3}"/>
    <cellStyle name="Normal 31 4 3 2" xfId="6572" xr:uid="{1A12E105-7BCE-4BF1-81B4-447200355A80}"/>
    <cellStyle name="Normal 31 4 4" xfId="2337" xr:uid="{0E5A0D5D-A921-492E-AFD8-1B0E2699CD4A}"/>
    <cellStyle name="Normal 31 4 4 2" xfId="6361" xr:uid="{33E9CD69-F497-4F93-880F-A03E4E93E72D}"/>
    <cellStyle name="Normal 31 4 5" xfId="4034" xr:uid="{D058092A-D7BB-4FBE-AD0E-71A5AAF2FE04}"/>
    <cellStyle name="Normal 31 4 6" xfId="5023" xr:uid="{D273DBCD-15C5-48BA-B9A6-B14A669046A5}"/>
    <cellStyle name="Normal 31 5" xfId="1158" xr:uid="{DADE2212-A487-4B18-9303-AA70987EA213}"/>
    <cellStyle name="Normal 31 5 2" xfId="2656" xr:uid="{217D4543-E8CF-4076-97F4-E6575E0C2C0E}"/>
    <cellStyle name="Normal 31 5 2 2" xfId="5744" xr:uid="{ADBD0CAA-E2CB-4BD9-A539-5A7068F3DC9B}"/>
    <cellStyle name="Normal 31 5 2 2 2" xfId="6736" xr:uid="{06083110-4369-4CED-AABF-88F534115B32}"/>
    <cellStyle name="Normal 31 5 2 3" xfId="6197" xr:uid="{00CD5A1F-D405-4016-9E11-C20B833D8C16}"/>
    <cellStyle name="Normal 31 5 3" xfId="4064" xr:uid="{B52FD685-1858-4E22-9030-FC02ECA3313D}"/>
    <cellStyle name="Normal 31 5 3 2" xfId="6580" xr:uid="{ECD783F0-79B6-4F42-B524-098ABC1905A3}"/>
    <cellStyle name="Normal 31 5 4" xfId="5035" xr:uid="{408AB816-4F68-4126-81A8-BCFBFD42706C}"/>
    <cellStyle name="Normal 31 5 4 2" xfId="6369" xr:uid="{DD39E809-EA61-4D5E-905F-42CC9FDDA60F}"/>
    <cellStyle name="Normal 31 5 5" xfId="6086" xr:uid="{721666B4-601F-463A-814B-207185C5CA97}"/>
    <cellStyle name="Normal 31 6" xfId="1506" xr:uid="{0154C430-8215-436B-BCAE-D2AA1C1447C5}"/>
    <cellStyle name="Normal 31 7" xfId="1757" xr:uid="{0610EF23-1C27-4C58-9D81-3C0C379BF18C}"/>
    <cellStyle name="Normal 31 8" xfId="1894" xr:uid="{38B35975-D81B-4DAA-89D4-7B0EBDA52964}"/>
    <cellStyle name="Normal 31 8 2" xfId="2972" xr:uid="{038526F8-94CD-4FD4-A36F-5CDA8C01D377}"/>
    <cellStyle name="Normal 31 8 2 2" xfId="5741" xr:uid="{B41037C2-C5EE-4463-91B5-0AD29A805067}"/>
    <cellStyle name="Normal 31 8 2 2 2" xfId="6710" xr:uid="{5F2B5989-F6D0-4465-8DF1-988F6FCC629F}"/>
    <cellStyle name="Normal 31 8 2 3" xfId="6187" xr:uid="{490BE39A-748D-447E-91B4-1EF31EB17213}"/>
    <cellStyle name="Normal 31 8 3" xfId="4393" xr:uid="{DA0013A9-7039-4D85-B32F-41CB3ACD664C}"/>
    <cellStyle name="Normal 31 8 3 2" xfId="6561" xr:uid="{0B600743-8496-4A7A-90E9-F7C8D1598B32}"/>
    <cellStyle name="Normal 31 8 4" xfId="5209" xr:uid="{B671C222-E02D-4D83-9476-A2A8C1A00F29}"/>
    <cellStyle name="Normal 31 8 4 2" xfId="6526" xr:uid="{21CB1714-F8F9-4F5B-B522-402BCAC7F3BA}"/>
    <cellStyle name="Normal 31 8 5" xfId="6075" xr:uid="{E4051991-8CB0-42BD-8C43-41FE24FDC5DF}"/>
    <cellStyle name="Normal 31 9" xfId="2593" xr:uid="{F93AC2E1-1B38-4A0A-96F9-703989D4F65D}"/>
    <cellStyle name="Normal 31 9 2" xfId="3988" xr:uid="{5020522E-A52F-4D00-9670-0795E11148BE}"/>
    <cellStyle name="Normal 31 9 2 2" xfId="6695" xr:uid="{11437A89-ABD9-44DB-BEF1-9D6C58979CE9}"/>
    <cellStyle name="Normal 31 9 3" xfId="6173" xr:uid="{24AEDBF8-D824-4E38-8FF5-F11C895DC1C5}"/>
    <cellStyle name="Normal 32" xfId="189" xr:uid="{2260574D-D323-4883-B1BC-A43F46C83C82}"/>
    <cellStyle name="Normal 32 10" xfId="1018" xr:uid="{E0513378-79B7-45EE-8C28-17EA37CA90F1}"/>
    <cellStyle name="Normal 32 2" xfId="437" xr:uid="{46322752-3099-4E5C-B662-BA7F38E4685D}"/>
    <cellStyle name="Normal 32 2 2" xfId="1796" xr:uid="{883D1858-7059-4149-A8C3-7651124945D2}"/>
    <cellStyle name="Normal 32 2 2 2" xfId="2530" xr:uid="{9483030E-FC32-4066-991B-C44F9E8C2E5D}"/>
    <cellStyle name="Normal 32 2 2 3" xfId="2886" xr:uid="{B80FA133-D4BB-4366-B464-AA21A63A2E8B}"/>
    <cellStyle name="Normal 32 2 2 4" xfId="2301" xr:uid="{5C3FFD50-CF5A-4B92-A5D0-4A9A25A6B5C3}"/>
    <cellStyle name="Normal 32 2 3" xfId="1917" xr:uid="{ADB2B7C1-C93A-443D-B4D5-5FFCFCFDDB3F}"/>
    <cellStyle name="Normal 32 2 3 2" xfId="2993" xr:uid="{23844519-1C27-421E-97C5-3CCDDC2F49FA}"/>
    <cellStyle name="Normal 32 2 3 2 2" xfId="6729" xr:uid="{01D8B85C-3DAB-4F6C-AEF6-8EFA3285FFD7}"/>
    <cellStyle name="Normal 32 2 3 3" xfId="2435" xr:uid="{DF2A3E3F-68E1-4B13-AADC-D5624164D11B}"/>
    <cellStyle name="Normal 32 2 3 3 2" xfId="6546" xr:uid="{A31A5CBA-6FAF-4DB0-8191-AA3FEC81AD4F}"/>
    <cellStyle name="Normal 32 2 3 4" xfId="4410" xr:uid="{B3CFE3D9-98E8-4D49-9681-A9FE7DD8AE1A}"/>
    <cellStyle name="Normal 32 2 3 5" xfId="5230" xr:uid="{CC0752AD-3FC3-4A2E-B42C-DA1C3F162A63}"/>
    <cellStyle name="Normal 32 2 4" xfId="2025" xr:uid="{B5F7E7C1-02CB-4717-84F2-09AFA03E08B8}"/>
    <cellStyle name="Normal 32 2 4 2" xfId="2640" xr:uid="{038CCC7A-0948-48A7-8C8E-5D85C8DB0D45}"/>
    <cellStyle name="Normal 32 2 4 3" xfId="4888" xr:uid="{453DF3BF-19A8-46D1-889C-3F28A311DFDB}"/>
    <cellStyle name="Normal 32 2 5" xfId="2189" xr:uid="{DB2309EF-3B0D-46B2-9A12-D37CECA0DD25}"/>
    <cellStyle name="Normal 32 2 5 2" xfId="4037" xr:uid="{E98EC4B7-8558-4A59-AF47-FC96ACFC831F}"/>
    <cellStyle name="Normal 32 2 6" xfId="3682" xr:uid="{F1AA1219-2915-48DA-9D84-198AE577681B}"/>
    <cellStyle name="Normal 32 2 6 2" xfId="6082" xr:uid="{47C5C3E9-163E-44E3-ABAE-74B1D721339E}"/>
    <cellStyle name="Normal 32 2 7" xfId="5027" xr:uid="{A6C2C075-2EEB-418C-BBA9-7FC87A8D7144}"/>
    <cellStyle name="Normal 32 2 8" xfId="1121" xr:uid="{38787FCB-1E14-47EA-ACED-3D9C5CFAE616}"/>
    <cellStyle name="Normal 32 3" xfId="1162" xr:uid="{510FD038-8D91-425B-8E0C-86C939B845EE}"/>
    <cellStyle name="Normal 32 3 2" xfId="2552" xr:uid="{95C7A032-186A-4628-A40C-717D6A15C9BF}"/>
    <cellStyle name="Normal 32 3 2 2" xfId="5747" xr:uid="{25DE5939-C108-4478-9F11-3455161E8DAC}"/>
    <cellStyle name="Normal 32 3 2 2 2" xfId="6740" xr:uid="{D02B0BFC-DA3B-42B6-9F09-591859658B96}"/>
    <cellStyle name="Normal 32 3 2 3" xfId="6201" xr:uid="{BA993146-8840-4702-86ED-2AF2BC3E75BE}"/>
    <cellStyle name="Normal 32 3 3" xfId="2660" xr:uid="{AA3211C6-97F6-41E7-A7B8-8AF8B6A0DE27}"/>
    <cellStyle name="Normal 32 3 3 2" xfId="6583" xr:uid="{125770FC-BE92-47E3-B60F-E0F48D758767}"/>
    <cellStyle name="Normal 32 3 4" xfId="2341" xr:uid="{ACFF97A2-961F-4D16-9C4A-790FFDC5D332}"/>
    <cellStyle name="Normal 32 3 4 2" xfId="6373" xr:uid="{BA18B37B-524F-4F4E-98DB-9D142F9966BD}"/>
    <cellStyle name="Normal 32 3 5" xfId="4068" xr:uid="{83831908-C452-4DAD-B165-7D56F210AA01}"/>
    <cellStyle name="Normal 32 3 6" xfId="5039" xr:uid="{A610924C-63AF-4372-AD25-B8989CE36BCE}"/>
    <cellStyle name="Normal 32 4" xfId="1509" xr:uid="{BCCA7F83-9FC9-4172-8BBE-A6A841BBCCC7}"/>
    <cellStyle name="Normal 32 5" xfId="1758" xr:uid="{9A89387D-2FA3-4A4F-8390-C563C8156B47}"/>
    <cellStyle name="Normal 32 6" xfId="1898" xr:uid="{A191D371-7791-4CCF-AC51-79A0E22C7B8A}"/>
    <cellStyle name="Normal 32 6 2" xfId="2976" xr:uid="{19A9FB56-117D-4C6F-8063-7937BF66642A}"/>
    <cellStyle name="Normal 32 6 2 2" xfId="6714" xr:uid="{99796812-97BF-4896-BFF3-1BD257DA0A5F}"/>
    <cellStyle name="Normal 32 6 3" xfId="4396" xr:uid="{E5DFD7F4-3630-41F0-AE2D-8968BBDBBAAC}"/>
    <cellStyle name="Normal 32 6 3 2" xfId="6530" xr:uid="{3138AD18-F08F-4168-9A52-7FDB3F23EC68}"/>
    <cellStyle name="Normal 32 6 4" xfId="5213" xr:uid="{89228224-B064-4861-A504-E396B1B3F7E2}"/>
    <cellStyle name="Normal 32 7" xfId="2021" xr:uid="{F446F1F1-DB99-48A5-A0FD-5FFB9AEF50E0}"/>
    <cellStyle name="Normal 32 7 2" xfId="2597" xr:uid="{C1299988-4876-42E6-BFDC-AA11A2FAE6DB}"/>
    <cellStyle name="Normal 32 7 3" xfId="3991" xr:uid="{1A5BC052-69BD-47C6-9359-65FB1392EEC9}"/>
    <cellStyle name="Normal 32 8" xfId="5010" xr:uid="{4C653E3F-1B92-4293-BB00-A969B57389ED}"/>
    <cellStyle name="Normal 32 8 2" xfId="6349" xr:uid="{E38F70E1-ECD5-4038-82AE-81FF9E363787}"/>
    <cellStyle name="Normal 32 9" xfId="6078" xr:uid="{6B9B6848-E46A-443C-80E1-1E0FB5F2EBA9}"/>
    <cellStyle name="Normal 33" xfId="190" xr:uid="{9554E014-8230-413F-865E-5EC4BD3A3630}"/>
    <cellStyle name="Normal 33 10" xfId="4001" xr:uid="{57CD1765-1F6E-4460-9CA9-767A693C8C48}"/>
    <cellStyle name="Normal 33 11" xfId="3032" xr:uid="{20CA8969-3B9A-4507-9947-BF43F554339A}"/>
    <cellStyle name="Normal 33 12" xfId="1035" xr:uid="{108D89EB-CF8D-471D-BDDD-4ACA55F2F3EE}"/>
    <cellStyle name="Normal 33 2" xfId="512" xr:uid="{D48713D0-83DE-4BB8-A3DC-8BF23C099229}"/>
    <cellStyle name="Normal 33 2 10" xfId="1761" xr:uid="{F6309326-B6A6-48CB-8717-61368A30E1BD}"/>
    <cellStyle name="Normal 33 2 2" xfId="2096" xr:uid="{2201ADC9-BFF5-4440-A316-397454041D1A}"/>
    <cellStyle name="Normal 33 2 2 2" xfId="2258" xr:uid="{AD37355C-D338-4B94-8413-F85BA0B4BA9B}"/>
    <cellStyle name="Normal 33 2 2 2 2" xfId="2487" xr:uid="{C0808F25-7914-4D12-BEBE-7F44E4B61E16}"/>
    <cellStyle name="Normal 33 2 2 2 2 2" xfId="4615" xr:uid="{07B943B1-2B43-4325-A32C-CB132D13C2E8}"/>
    <cellStyle name="Normal 33 2 2 2 2 3" xfId="3207" xr:uid="{17814CDA-7124-4999-99B5-140D1BE7AD82}"/>
    <cellStyle name="Normal 33 2 2 2 3" xfId="3614" xr:uid="{17BBD4F0-55B3-47F1-A647-23C35E7797BF}"/>
    <cellStyle name="Normal 33 2 2 2 3 2" xfId="4835" xr:uid="{A3D66B5B-7878-40C5-A009-4974C38EBD92}"/>
    <cellStyle name="Normal 33 2 2 2 4" xfId="3922" xr:uid="{1774EF62-FC1C-49DB-B023-466A5ACD0589}"/>
    <cellStyle name="Normal 33 2 2 2 5" xfId="3112" xr:uid="{B959B637-9D53-4AC9-9969-5757F15CF57F}"/>
    <cellStyle name="Normal 33 2 2 3" xfId="2390" xr:uid="{2985A01D-FC54-43B1-941B-BD42702B7724}"/>
    <cellStyle name="Normal 33 2 2 3 2" xfId="4570" xr:uid="{45B706E5-7703-4AB8-88E3-8BE459A4F37F}"/>
    <cellStyle name="Normal 33 2 2 3 3" xfId="3162" xr:uid="{3E3743BA-BD86-4A5D-9608-6872FF8BD5D4}"/>
    <cellStyle name="Normal 33 2 2 4" xfId="3555" xr:uid="{7D3022F1-D5C0-4406-84F6-C828F1548B9D}"/>
    <cellStyle name="Normal 33 2 2 4 2" xfId="4785" xr:uid="{F2A88528-D5AC-4773-8457-098A7C4298A5}"/>
    <cellStyle name="Normal 33 2 2 5" xfId="3874" xr:uid="{B655360E-6485-49E4-9DC6-9652AD4610B2}"/>
    <cellStyle name="Normal 33 2 2 6" xfId="3058" xr:uid="{56502332-C768-40BE-97BA-84EEE0F83F2E}"/>
    <cellStyle name="Normal 33 2 3" xfId="2193" xr:uid="{99C0FB7E-748E-4055-953F-98D2BDC2B143}"/>
    <cellStyle name="Normal 33 2 3 2" xfId="3186" xr:uid="{37783313-B113-466F-AE12-6E2293331F8C}"/>
    <cellStyle name="Normal 33 2 3 2 2" xfId="4594" xr:uid="{328F0056-BC66-4C75-8751-7B98B50C29D5}"/>
    <cellStyle name="Normal 33 2 3 3" xfId="3593" xr:uid="{9E82815F-C80C-4CAC-A132-E86C3A8EEF71}"/>
    <cellStyle name="Normal 33 2 3 3 2" xfId="4814" xr:uid="{B7B50655-FD88-4D17-8FB0-DEFAD3764B91}"/>
    <cellStyle name="Normal 33 2 3 4" xfId="3901" xr:uid="{203B4AE8-3772-4353-8B70-4FA0A6C700A6}"/>
    <cellStyle name="Normal 33 2 3 5" xfId="3091" xr:uid="{A761D3C2-8665-4268-94FD-1FB17C6A976F}"/>
    <cellStyle name="Normal 33 2 4" xfId="2237" xr:uid="{9DE84ED9-FFE1-4B9B-80A7-DAA71CC70283}"/>
    <cellStyle name="Normal 33 2 4 2" xfId="2467" xr:uid="{29F45006-2192-4FA3-BC31-4D25013BFAE3}"/>
    <cellStyle name="Normal 33 2 4 2 2" xfId="4549" xr:uid="{EF5AA82F-4053-4F94-AD0C-E255239BAE5C}"/>
    <cellStyle name="Normal 33 2 4 3" xfId="3141" xr:uid="{07D6697E-DDF2-4937-8155-18F6A7A51D11}"/>
    <cellStyle name="Normal 33 2 5" xfId="2370" xr:uid="{0F02321D-4F91-4BF1-AEDB-DA1B686C0A43}"/>
    <cellStyle name="Normal 33 2 5 2" xfId="4762" xr:uid="{05CDF8B7-110F-4169-970E-85FFA2441EB0}"/>
    <cellStyle name="Normal 33 2 5 3" xfId="3519" xr:uid="{CC7F154E-AF47-4546-B0CD-7D2C4EAE7C9D}"/>
    <cellStyle name="Normal 33 2 6" xfId="2074" xr:uid="{CFDEF3A8-11A6-4214-ADFB-AEF999D61326}"/>
    <cellStyle name="Normal 33 2 6 2" xfId="3853" xr:uid="{F1940278-018D-475F-B135-0BED9D870103}"/>
    <cellStyle name="Normal 33 2 7" xfId="4461" xr:uid="{38ECB63F-8EE3-4047-8086-1EAF6C62D3ED}"/>
    <cellStyle name="Normal 33 2 8" xfId="4300" xr:uid="{5EFE1EEF-E9A9-4CF7-9255-65ECE3CE33FF}"/>
    <cellStyle name="Normal 33 2 9" xfId="3037" xr:uid="{0085A2EB-54F4-44C7-8810-F79BE35F1F31}"/>
    <cellStyle name="Normal 33 3" xfId="1759" xr:uid="{EC52D7E0-9838-4AEA-AF53-AF13AAA6DAED}"/>
    <cellStyle name="Normal 33 3 2" xfId="2253" xr:uid="{25504AD7-B159-4B16-AE57-00806B4E468B}"/>
    <cellStyle name="Normal 33 3 2 2" xfId="2482" xr:uid="{5211815D-3205-4255-B49B-C283546A8977}"/>
    <cellStyle name="Normal 33 3 2 2 2" xfId="4610" xr:uid="{193D6043-79E1-4EB5-82A9-A5854CBECB5E}"/>
    <cellStyle name="Normal 33 3 2 2 3" xfId="3202" xr:uid="{34A24227-1089-4DAC-A55E-EDBCAE4EBEEB}"/>
    <cellStyle name="Normal 33 3 2 3" xfId="3609" xr:uid="{C118FEEE-D9A4-4A9F-93B4-CF4708B521B6}"/>
    <cellStyle name="Normal 33 3 2 3 2" xfId="4830" xr:uid="{4A8BDB07-CBC9-423F-A0DA-C2F200725FEB}"/>
    <cellStyle name="Normal 33 3 2 4" xfId="3917" xr:uid="{2E4E8E11-FC49-48E7-9BD4-B1EEE4AF9279}"/>
    <cellStyle name="Normal 33 3 2 5" xfId="3107" xr:uid="{AA462223-A3F1-49A5-A944-AB06794BD1C0}"/>
    <cellStyle name="Normal 33 3 3" xfId="2385" xr:uid="{FE1ECC03-80DF-4E2D-B5D4-7AFC15B0E4D6}"/>
    <cellStyle name="Normal 33 3 3 2" xfId="4565" xr:uid="{51128A8A-4C8B-4C8E-A6A4-E11AB88240FE}"/>
    <cellStyle name="Normal 33 3 3 3" xfId="3157" xr:uid="{A52D338B-F2EA-4069-B567-F138102CF2F0}"/>
    <cellStyle name="Normal 33 3 4" xfId="2860" xr:uid="{13390DEC-4918-4700-8E87-DE4F12C88609}"/>
    <cellStyle name="Normal 33 3 4 2" xfId="4780" xr:uid="{89BAAB18-8847-466C-A5CF-F5CC40477FB3}"/>
    <cellStyle name="Normal 33 3 4 3" xfId="3550" xr:uid="{16EE00A5-05D1-46C2-92A3-25F1964A4938}"/>
    <cellStyle name="Normal 33 3 5" xfId="2091" xr:uid="{EFB61B75-02F7-4187-898B-BD7AAEF36E16}"/>
    <cellStyle name="Normal 33 3 5 2" xfId="3869" xr:uid="{E3784481-7147-4CA4-B030-E0A44AC06FF6}"/>
    <cellStyle name="Normal 33 3 6" xfId="4478" xr:uid="{38C410BD-9ED8-4D95-95B9-EADE4352C39B}"/>
    <cellStyle name="Normal 33 3 7" xfId="4299" xr:uid="{E7E25FE7-19D4-4411-8226-2A8E70E23BCA}"/>
    <cellStyle name="Normal 33 3 8" xfId="3053" xr:uid="{EDADB87A-34EE-49FD-ACDE-832F70AC5E9B}"/>
    <cellStyle name="Normal 33 4" xfId="2191" xr:uid="{A8E274B8-A5C7-435A-96F7-5B720CF8FD26}"/>
    <cellStyle name="Normal 33 4 2" xfId="2302" xr:uid="{A3C26E09-08E2-47A6-85CC-7FE18FA4DD8A}"/>
    <cellStyle name="Normal 33 4 2 2" xfId="2531" xr:uid="{BF3441A7-0DD8-40A5-A64F-8A5354691AD6}"/>
    <cellStyle name="Normal 33 4 2 2 2" xfId="4589" xr:uid="{9F3805BD-AAD2-4E82-9FF1-898AACFE2B89}"/>
    <cellStyle name="Normal 33 4 2 3" xfId="3181" xr:uid="{C69A6D2B-5657-4A78-9D72-5C782015FEFA}"/>
    <cellStyle name="Normal 33 4 3" xfId="2436" xr:uid="{98660F15-4DE4-453E-98C9-CC536A9FC421}"/>
    <cellStyle name="Normal 33 4 3 2" xfId="4809" xr:uid="{AB80F1B5-CF67-4909-A388-07B7E6AE4A52}"/>
    <cellStyle name="Normal 33 4 3 3" xfId="3588" xr:uid="{025CDFD8-5040-49BE-AEEB-41486A4E737F}"/>
    <cellStyle name="Normal 33 4 4" xfId="3896" xr:uid="{79A7D587-C1A2-4C74-98DE-A7C57F1DCCBD}"/>
    <cellStyle name="Normal 33 4 5" xfId="3086" xr:uid="{2E656056-14C6-4C5F-8057-BAB96F0D7051}"/>
    <cellStyle name="Normal 33 5" xfId="2231" xr:uid="{C743E148-9029-4B5E-8CB3-09A0EFB853E7}"/>
    <cellStyle name="Normal 33 5 2" xfId="2462" xr:uid="{F3ACA6CF-B460-4B76-9FB4-3F1D6DA0E460}"/>
    <cellStyle name="Normal 33 5 2 2" xfId="4544" xr:uid="{86AC82D2-FEBC-433F-8D68-2DADBDD465FB}"/>
    <cellStyle name="Normal 33 5 3" xfId="3136" xr:uid="{F47A98C3-D8F5-4CC4-B66D-351BF4805827}"/>
    <cellStyle name="Normal 33 6" xfId="2364" xr:uid="{114B4A61-360F-4793-BE85-9CF0CA595F4F}"/>
    <cellStyle name="Normal 33 6 2" xfId="4755" xr:uid="{86FEC1B9-DD50-43CD-ACF0-6EF787769257}"/>
    <cellStyle name="Normal 33 6 3" xfId="3511" xr:uid="{488D191B-7C89-40A7-8333-9590080A8C08}"/>
    <cellStyle name="Normal 33 7" xfId="2609" xr:uid="{A9AD4FBB-4EA6-4B2B-B074-6BFC1E4DB02A}"/>
    <cellStyle name="Normal 33 7 2" xfId="3683" xr:uid="{861F14ED-DAE1-4D74-98D7-41889B434EB6}"/>
    <cellStyle name="Normal 33 8" xfId="2068" xr:uid="{E57B79D8-B266-4564-8F9D-C27DEAA57A9B}"/>
    <cellStyle name="Normal 33 8 2" xfId="3848" xr:uid="{8FCC8B92-28E0-45AA-BF2B-C6F1EA7FD656}"/>
    <cellStyle name="Normal 33 9" xfId="4454" xr:uid="{50C40C3B-322D-45FD-8915-CB6347E2C00F}"/>
    <cellStyle name="Normal 34" xfId="130" xr:uid="{B69A6F56-A793-4724-8901-9CFB57E97C0A}"/>
    <cellStyle name="Normal 34 2" xfId="595" xr:uid="{8F57B08D-E7B3-403A-8FCD-67DD0B746376}"/>
    <cellStyle name="Normal 34 2 2" xfId="1797" xr:uid="{4DBA83E3-B42B-4E54-A60C-6FE38E71A9FD}"/>
    <cellStyle name="Normal 34 2 3" xfId="5382" xr:uid="{829EABA0-7886-40C7-B164-740E3E187BF2}"/>
    <cellStyle name="Normal 34 3" xfId="1760" xr:uid="{01AA4210-AB6C-478A-A547-6E2C749B0741}"/>
    <cellStyle name="Normal 34 3 2" xfId="5412" xr:uid="{573510CA-BE51-4255-A48E-5570EE5E58B2}"/>
    <cellStyle name="Normal 34 4" xfId="1905" xr:uid="{DE0F0057-5684-4D39-9794-9B55BDA9B885}"/>
    <cellStyle name="Normal 34 4 2" xfId="2983" xr:uid="{F10E90F4-19F7-4C55-B60B-4B640BF70DAB}"/>
    <cellStyle name="Normal 34 4 2 2" xfId="6721" xr:uid="{DFEE55D3-7130-4764-91E9-30FF31F3B4D8}"/>
    <cellStyle name="Normal 34 4 3" xfId="4403" xr:uid="{177C0589-4CFB-4037-A5EA-0030D9867051}"/>
    <cellStyle name="Normal 34 4 3 2" xfId="6537" xr:uid="{7490E660-3B0F-4CCE-9E3C-2290F586EFBC}"/>
    <cellStyle name="Normal 34 4 4" xfId="5220" xr:uid="{C8D0810C-EA1E-4EE4-AC38-0A4015D3E76D}"/>
    <cellStyle name="Normal 34 5" xfId="1941" xr:uid="{B86CF35F-4CDE-4BEB-B392-00DF4975DFDC}"/>
    <cellStyle name="Normal 34 5 2" xfId="2610" xr:uid="{47E3C575-17E3-4FAB-A936-7EB9049BB49D}"/>
    <cellStyle name="Normal 34 5 3" xfId="4002" xr:uid="{EDEEC21D-EF23-4BDA-B6C6-A0271A0C1826}"/>
    <cellStyle name="Normal 34 6" xfId="2022" xr:uid="{513D8380-27BF-401E-A8CE-F12F23B7CBDA}"/>
    <cellStyle name="Normal 34 6 2" xfId="6356" xr:uid="{97485B41-791E-4D04-AB9D-BBDEBDE5D665}"/>
    <cellStyle name="Normal 34 6 3" xfId="5500" xr:uid="{33F8CE99-F4FB-430B-B97D-391A29B1F0B4}"/>
    <cellStyle name="Normal 34 7" xfId="5017" xr:uid="{05EDA94F-B1F0-4E29-9C83-B0D6C2F08664}"/>
    <cellStyle name="Normal 34 8" xfId="5324" xr:uid="{7B243A5E-C8AD-42DB-A5F2-E69A13FF1DAD}"/>
    <cellStyle name="Normal 34 9" xfId="1036" xr:uid="{F332632E-15A1-4D31-9AFB-2469CC99E003}"/>
    <cellStyle name="Normal 35" xfId="196" xr:uid="{778B2AC4-9867-4919-ACFF-16B6DAEA8B56}"/>
    <cellStyle name="Normal 35 2" xfId="592" xr:uid="{E878E866-3E3C-407B-8D0F-F35CAEC7E8A9}"/>
    <cellStyle name="Normal 35 2 2" xfId="1848" xr:uid="{9110F45C-DF83-44F8-90B3-E2E2E6CF3390}"/>
    <cellStyle name="Normal 35 2 2 2" xfId="2935" xr:uid="{E6A53CDB-8046-492A-BDEF-5A85B80D9498}"/>
    <cellStyle name="Normal 35 2 2 2 2" xfId="5839" xr:uid="{2EB55ABE-BA13-41F4-B19C-AFE746A38009}"/>
    <cellStyle name="Normal 35 2 2 2 2 2" xfId="6869" xr:uid="{2B5305BD-EF31-4DDE-8766-58A31E148729}"/>
    <cellStyle name="Normal 35 2 2 2 3" xfId="6321" xr:uid="{F929B2CE-1C02-4B9C-BD2E-5DA3F2A82EA5}"/>
    <cellStyle name="Normal 35 2 2 3" xfId="4358" xr:uid="{D4612ED8-149E-4E0E-B3EF-CF715E4EC27C}"/>
    <cellStyle name="Normal 35 2 2 3 2" xfId="6678" xr:uid="{E41D3FC9-4020-499F-BFDC-41CC6C8FC830}"/>
    <cellStyle name="Normal 35 2 2 4" xfId="5173" xr:uid="{863C8CB6-D6BE-43A2-99C4-C6BD8CA62AAF}"/>
    <cellStyle name="Normal 35 2 2 4 2" xfId="6498" xr:uid="{CB46DFEE-DA28-40D7-9E9A-65785D5AF236}"/>
    <cellStyle name="Normal 35 2 2 5" xfId="5390" xr:uid="{2DBAD927-F984-4A08-B51D-0CA11E4D111D}"/>
    <cellStyle name="Normal 35 2 3" xfId="1798" xr:uid="{60E2DE77-46B3-474B-9BC8-60E696449BBB}"/>
    <cellStyle name="Normal 35 2 3 2" xfId="2887" xr:uid="{C567E4AA-BC8F-4FC7-9F1D-A6C853ABDFD1}"/>
    <cellStyle name="Normal 35 2 3 2 2" xfId="5819" xr:uid="{7A8DBE22-87E7-400F-93F9-00E60105C4DA}"/>
    <cellStyle name="Normal 35 2 3 2 2 2" xfId="6826" xr:uid="{F84C32AF-EB3F-46A8-A68C-7377D2808BBE}"/>
    <cellStyle name="Normal 35 2 3 2 3" xfId="6285" xr:uid="{8AEE9246-0630-492F-BEB0-9F21ACF4D97E}"/>
    <cellStyle name="Normal 35 2 3 3" xfId="4322" xr:uid="{BB499822-5412-46C4-B9EF-78E665556FAB}"/>
    <cellStyle name="Normal 35 2 3 3 2" xfId="6655" xr:uid="{D89E3F4E-A57C-4504-B95A-ABD2D4ECA9D9}"/>
    <cellStyle name="Normal 35 2 3 4" xfId="5126" xr:uid="{52F8174F-71D6-429F-BF36-EAB1B35D2279}"/>
    <cellStyle name="Normal 35 2 3 4 2" xfId="6459" xr:uid="{AE391EC7-5DE4-450C-A7D0-70CAD2848A4E}"/>
    <cellStyle name="Normal 35 2 3 5" xfId="6146" xr:uid="{B3AC1664-99E6-4855-8821-2E906F37EB2A}"/>
    <cellStyle name="Normal 35 2 4" xfId="2737" xr:uid="{D9A4C0B4-FC2D-4842-8FE3-F4A472125B41}"/>
    <cellStyle name="Normal 35 2 5" xfId="2194" xr:uid="{1ACA39F9-D7FA-4663-A77A-67050AA4BB92}"/>
    <cellStyle name="Normal 35 2 6" xfId="5332" xr:uid="{C7C2C8E8-8FE2-437E-A1F1-5E54A85CEF5F}"/>
    <cellStyle name="Normal 35 2 7" xfId="1514" xr:uid="{99D0A4F4-2F7A-45D6-99A9-8451D661B375}"/>
    <cellStyle name="Normal 35 3" xfId="1815" xr:uid="{794CD815-29A1-46AC-A187-91609CF0D7D4}"/>
    <cellStyle name="Normal 35 3 2" xfId="1864" xr:uid="{5269A041-E146-4A2D-A603-7A69CAA2D161}"/>
    <cellStyle name="Normal 35 3 2 2" xfId="2951" xr:uid="{41077813-1546-424F-9054-7797964FFA77}"/>
    <cellStyle name="Normal 35 3 2 2 2" xfId="5846" xr:uid="{71BAD0A2-31D7-450F-BEFF-2EDFD62B1EC6}"/>
    <cellStyle name="Normal 35 3 2 2 2 2" xfId="6884" xr:uid="{1F9D05BA-DD44-403F-B13E-8F65BFACBDB8}"/>
    <cellStyle name="Normal 35 3 2 2 3" xfId="6334" xr:uid="{810DCE8E-1EEB-4536-B587-A5E74D2CBCEB}"/>
    <cellStyle name="Normal 35 3 2 3" xfId="4371" xr:uid="{7BFB110C-1FC9-4DE6-87E3-B32D0C6CF1D0}"/>
    <cellStyle name="Normal 35 3 2 3 2" xfId="6685" xr:uid="{E561086C-F1FC-4B86-8CED-61B53712C48F}"/>
    <cellStyle name="Normal 35 3 2 4" xfId="5189" xr:uid="{6F30F596-90BE-4740-8AC0-C95F22A28E1F}"/>
    <cellStyle name="Normal 35 3 2 4 2" xfId="6512" xr:uid="{49383FB5-781B-4CC2-94CC-5969C08F7601}"/>
    <cellStyle name="Normal 35 3 2 5" xfId="6166" xr:uid="{EDD140A1-889E-43D7-88E7-CAD2295BB9D6}"/>
    <cellStyle name="Normal 35 3 3" xfId="2903" xr:uid="{C84DD6CD-2630-465A-9AE0-EF4A209A7AF6}"/>
    <cellStyle name="Normal 35 3 3 2" xfId="5826" xr:uid="{EB471A33-ACE3-4C19-8D0A-3E9C078E5C72}"/>
    <cellStyle name="Normal 35 3 3 2 2" xfId="6841" xr:uid="{6C168E55-D94D-4562-9CB0-AD789BF573C4}"/>
    <cellStyle name="Normal 35 3 3 3" xfId="6297" xr:uid="{B6E483D9-CA2F-40A6-B0DB-123B33A85BC9}"/>
    <cellStyle name="Normal 35 3 4" xfId="4334" xr:uid="{13010CA9-400B-41F0-91EA-199BC5841399}"/>
    <cellStyle name="Normal 35 3 4 2" xfId="6664" xr:uid="{CC5ED3CF-E3D3-4F95-9F1B-6D60975283D1}"/>
    <cellStyle name="Normal 35 3 5" xfId="5142" xr:uid="{68C466AC-5432-4734-8410-48A1B906918C}"/>
    <cellStyle name="Normal 35 3 5 2" xfId="6472" xr:uid="{2A093FCE-8CB7-4306-9649-1186C60FA1CD}"/>
    <cellStyle name="Normal 35 3 6" xfId="5360" xr:uid="{EAC0591E-7B6C-4F25-BEB1-8F99726EDC02}"/>
    <cellStyle name="Normal 35 4" xfId="1832" xr:uid="{1D5C4BAF-1F38-41CB-80F3-CA64C8077A34}"/>
    <cellStyle name="Normal 35 4 2" xfId="2920" xr:uid="{D1E18F5C-48A9-4D7D-B31E-2E4400D2B6B5}"/>
    <cellStyle name="Normal 35 4 2 2" xfId="5833" xr:uid="{F28F6BF3-0F0C-4BCE-AF79-7F3113709321}"/>
    <cellStyle name="Normal 35 4 2 2 2" xfId="6856" xr:uid="{FD7AB94A-659C-4DD6-925C-F44C36413121}"/>
    <cellStyle name="Normal 35 4 2 3" xfId="6309" xr:uid="{ED0BAFF0-F83C-4D94-8C50-D54D1B39A683}"/>
    <cellStyle name="Normal 35 4 3" xfId="4346" xr:uid="{C8C78D71-EADF-4BDF-B9BE-69BF71A48EC3}"/>
    <cellStyle name="Normal 35 4 3 2" xfId="6669" xr:uid="{74CCEA37-83F7-4937-808C-330341EEEEC3}"/>
    <cellStyle name="Normal 35 4 4" xfId="5158" xr:uid="{0BF6285E-3DE9-444E-B116-9A6F11B0E4DC}"/>
    <cellStyle name="Normal 35 4 4 2" xfId="6486" xr:uid="{6CF470D0-E54C-4D8A-87A8-37133BBE76CC}"/>
    <cellStyle name="Normal 35 4 5" xfId="6154" xr:uid="{CCDB2990-961B-4198-AFA4-F4001165A405}"/>
    <cellStyle name="Normal 35 5" xfId="1763" xr:uid="{5CD6D551-9EF4-420C-A0FC-8931A5F506DC}"/>
    <cellStyle name="Normal 35 5 2" xfId="2861" xr:uid="{25D7173F-D6D7-4414-8AD4-9D89693BCE5A}"/>
    <cellStyle name="Normal 35 5 2 2" xfId="5813" xr:uid="{51647AA2-849A-48EA-BF99-2F73D0D0C2EA}"/>
    <cellStyle name="Normal 35 5 2 2 2" xfId="6811" xr:uid="{42A36CE2-7D8D-4A15-A6BB-512D041B375B}"/>
    <cellStyle name="Normal 35 5 2 3" xfId="6272" xr:uid="{E6FA846A-9FC8-47DD-912A-297876B02FC6}"/>
    <cellStyle name="Normal 35 5 3" xfId="4301" xr:uid="{81F147E3-B76C-4E8B-9F4B-EB10D7E44713}"/>
    <cellStyle name="Normal 35 5 3 2" xfId="6646" xr:uid="{8BEBB73B-DA6B-43E5-A699-5D26A3E706D1}"/>
    <cellStyle name="Normal 35 5 4" xfId="5111" xr:uid="{9C76F063-6197-4653-891D-F8B51EF0D055}"/>
    <cellStyle name="Normal 35 5 4 2" xfId="6444" xr:uid="{244A189A-FF27-404D-ADD1-0C2AFCF54900}"/>
    <cellStyle name="Normal 35 5 5" xfId="6138" xr:uid="{965FCF9B-1E6F-4CF6-8754-9E42EEAB3E68}"/>
    <cellStyle name="Normal 35 6" xfId="5263" xr:uid="{74E505EB-BDBA-48DE-B80B-F86A11BBBDA2}"/>
    <cellStyle name="Normal 35 7" xfId="1038" xr:uid="{5F79D07E-42D2-4831-B03E-E981AC60A862}"/>
    <cellStyle name="Normal 36" xfId="191" xr:uid="{EB995FE2-D85E-4AB4-BB8F-9CF88EEFB0A3}"/>
    <cellStyle name="Normal 36 2" xfId="591" xr:uid="{3E267803-4812-4F82-8FC2-F9E5FE2A1016}"/>
    <cellStyle name="Normal 36 2 2" xfId="1807" xr:uid="{7E1AA016-3977-4842-91E4-E9181CEFBA06}"/>
    <cellStyle name="Normal 36 2 2 2" xfId="5391" xr:uid="{3B0675AC-B367-42F8-8919-DA0AF4446F43}"/>
    <cellStyle name="Normal 36 2 3" xfId="2736" xr:uid="{2FFA7A73-AD47-459D-8DE0-4BD97EC4D136}"/>
    <cellStyle name="Normal 36 2 4" xfId="2196" xr:uid="{3932EDA5-BE95-4601-AB5E-75820ABB9470}"/>
    <cellStyle name="Normal 36 2 5" xfId="5333" xr:uid="{490BBC8E-5E1C-45B5-AEE1-3E318A337AB7}"/>
    <cellStyle name="Normal 36 3" xfId="5361" xr:uid="{3C47C7A9-C1CF-4A6E-914B-A8F16C96D92A}"/>
    <cellStyle name="Normal 36 4" xfId="5265" xr:uid="{06BB6520-EE68-4AB4-A9D9-7C30F8044945}"/>
    <cellStyle name="Normal 36 5" xfId="1114" xr:uid="{9978A7BA-3A57-45B3-9E46-780B22C702AE}"/>
    <cellStyle name="Normal 37" xfId="199" xr:uid="{BE347EEA-B0E9-4FA5-A92D-666C0B224EC2}"/>
    <cellStyle name="Normal 37 2" xfId="600" xr:uid="{4CC753FD-39A1-46DF-90D9-18752C010D2A}"/>
    <cellStyle name="Normal 37 2 2" xfId="1841" xr:uid="{0F13C811-1A43-4FDD-A93D-EA587C24498B}"/>
    <cellStyle name="Normal 37 2 3" xfId="1512" xr:uid="{E67B63D3-EFAA-4F17-ADF0-DA6644C2CFF7}"/>
    <cellStyle name="Normal 37 3" xfId="1777" xr:uid="{8D864883-CC3A-45A2-9E7E-1F8CD094AD8E}"/>
    <cellStyle name="Normal 37 4" xfId="2644" xr:uid="{D44D6DFC-5253-451A-BA1E-9BF15616FA7C}"/>
    <cellStyle name="Normal 37 5" xfId="1125" xr:uid="{02EBE902-0666-44F5-841E-D4D40C2D2FC8}"/>
    <cellStyle name="Normal 38" xfId="193" xr:uid="{3769F357-BFA2-41AB-A273-8D78115440EE}"/>
    <cellStyle name="Normal 38 2" xfId="601" xr:uid="{78D9BEDF-C13C-40F3-9E49-CC18AFE05C55}"/>
    <cellStyle name="Normal 38 2 2" xfId="2944" xr:uid="{DEA9D85C-2C80-45B3-955E-8B57E8C3FBCD}"/>
    <cellStyle name="Normal 38 2 2 2" xfId="4889" xr:uid="{4EE4659C-9151-4195-B9ED-A47F2854A05D}"/>
    <cellStyle name="Normal 38 2 2 2 2" xfId="6877" xr:uid="{27D22D97-4932-4B26-808C-72A69CF1043B}"/>
    <cellStyle name="Normal 38 2 2 2 3" xfId="5843" xr:uid="{B7B2FCDE-DC44-4D88-9275-3B88763B1807}"/>
    <cellStyle name="Normal 38 2 2 3" xfId="6327" xr:uid="{6939FA57-022D-4520-9E49-F606FD269D70}"/>
    <cellStyle name="Normal 38 2 3" xfId="4364" xr:uid="{E66F9CE7-5B90-4154-B6E2-5C62BEB54943}"/>
    <cellStyle name="Normal 38 2 3 2" xfId="6682" xr:uid="{B0621CBA-89CE-4446-A811-FDB78438FBAA}"/>
    <cellStyle name="Normal 38 2 4" xfId="3684" xr:uid="{3A891DA2-466B-40CA-9200-49208BE8C8D7}"/>
    <cellStyle name="Normal 38 2 4 2" xfId="6505" xr:uid="{85323D30-A7DD-4A4E-A1E4-7B83F261AF32}"/>
    <cellStyle name="Normal 38 2 4 3" xfId="5601" xr:uid="{C3009F67-FBC7-4202-A3EC-B1355F962AE9}"/>
    <cellStyle name="Normal 38 2 5" xfId="5182" xr:uid="{86FEDADE-1499-4DB3-865C-6875C1A5962D}"/>
    <cellStyle name="Normal 38 2 6" xfId="1857" xr:uid="{E8102C01-2402-4388-853F-0CE98201A61C}"/>
    <cellStyle name="Normal 38 3" xfId="1808" xr:uid="{CFB5AE69-B2CF-432A-A93B-83E61E109022}"/>
    <cellStyle name="Normal 38 3 2" xfId="2896" xr:uid="{7D07EA4F-5313-464F-8F0B-C015AB2DBB09}"/>
    <cellStyle name="Normal 38 3 2 2" xfId="5823" xr:uid="{D1C72F4A-6DDB-4551-B46F-DE3031AC80D4}"/>
    <cellStyle name="Normal 38 3 2 2 2" xfId="6834" xr:uid="{2CD36338-4A00-44F1-9959-064CD4831364}"/>
    <cellStyle name="Normal 38 3 2 3" xfId="6293" xr:uid="{39B48222-0F49-4C18-9422-67122EB83C21}"/>
    <cellStyle name="Normal 38 3 3" xfId="4330" xr:uid="{4421E5DD-4406-45DA-9673-D386D60E5D53}"/>
    <cellStyle name="Normal 38 3 3 2" xfId="6661" xr:uid="{CE38863E-D936-486D-8C27-09242357099A}"/>
    <cellStyle name="Normal 38 3 4" xfId="5135" xr:uid="{8256B5FF-9CEF-42EC-8E8C-3E674A801A3A}"/>
    <cellStyle name="Normal 38 3 4 2" xfId="6467" xr:uid="{77265C27-5B35-41EA-8E54-ED19ABD2946B}"/>
    <cellStyle name="Normal 38 3 5" xfId="6147" xr:uid="{1B245BFA-355B-4506-8B40-B72B3D2918D1}"/>
    <cellStyle name="Normal 38 4" xfId="2735" xr:uid="{BEF21186-55AD-4100-92A8-E4BD0C8A257D}"/>
    <cellStyle name="Normal 38 4 2" xfId="4485" xr:uid="{7DD1288F-9BBC-4031-8414-76EDE329B657}"/>
    <cellStyle name="Normal 38 5" xfId="2129" xr:uid="{8832974E-8292-4808-A9CA-F699B2B58A71}"/>
    <cellStyle name="Normal 38 6" xfId="1511" xr:uid="{79D8A64B-93D0-4C3A-AC4C-BF2C6DD5D310}"/>
    <cellStyle name="Normal 39" xfId="200" xr:uid="{08D33ADA-9798-4232-9656-1F9CE20BFBC9}"/>
    <cellStyle name="Normal 39 2" xfId="604" xr:uid="{F5E2781E-30CF-4587-9AC6-3046BA008AE6}"/>
    <cellStyle name="Normal 39 2 2" xfId="2534" xr:uid="{D2E790AC-369B-4703-A2B4-5B39AFF4DB34}"/>
    <cellStyle name="Normal 39 2 2 2" xfId="4890" xr:uid="{C4D7940D-B317-47D5-8F4D-229A74A306A6}"/>
    <cellStyle name="Normal 39 2 3" xfId="2912" xr:uid="{A8591084-D4A7-430C-A130-3B2E54BFDF47}"/>
    <cellStyle name="Normal 39 2 4" xfId="2305" xr:uid="{0D81328D-DB4C-4735-8E95-8CE7307CE070}"/>
    <cellStyle name="Normal 39 2 5" xfId="3685" xr:uid="{3031814E-EAC7-403D-A4B7-5579FF915CEB}"/>
    <cellStyle name="Normal 39 2 6" xfId="1824" xr:uid="{A9571CA7-23FC-4D48-BF81-3465B2F0E27B}"/>
    <cellStyle name="Normal 39 3" xfId="2440" xr:uid="{AD381444-42A5-41C1-834D-2E4E60CDB2B9}"/>
    <cellStyle name="Normal 39 3 2" xfId="4490" xr:uid="{B47A0EAA-3AA0-4844-A1C3-A248D5E1E74D}"/>
    <cellStyle name="Normal 39 4" xfId="2745" xr:uid="{06E58623-9447-46FD-9DB0-5B8447DF5752}"/>
    <cellStyle name="Normal 39 5" xfId="2200" xr:uid="{13810049-1F5B-4866-A5A2-E6BC2F5FB73B}"/>
    <cellStyle name="Normal 39 6" xfId="3068" xr:uid="{D53A803B-24A7-429A-8D47-E6F314B06FF2}"/>
    <cellStyle name="Normal 4" xfId="2" xr:uid="{2C32B379-0886-4408-AADF-F469EF7F663A}"/>
    <cellStyle name="Normal 4 10" xfId="7196" xr:uid="{2A7FF94F-714D-42D4-A6E2-A2875F5B15E5}"/>
    <cellStyle name="Normal 4 11" xfId="7339" xr:uid="{AFD76268-EBC7-4464-A7C0-273307694BCF}"/>
    <cellStyle name="Normal 4 2" xfId="24" xr:uid="{55BED240-DBD0-462D-AB6B-2F97C7D7F9A2}"/>
    <cellStyle name="Normal 4 2 2" xfId="132" xr:uid="{17536A3F-7D24-410E-B236-328476B5C3F5}"/>
    <cellStyle name="Normal 4 2 2 2" xfId="1350" xr:uid="{0EEDD7C1-A4B5-4252-B083-EDDDE3F2CE50}"/>
    <cellStyle name="Normal 4 2 3" xfId="385" xr:uid="{0BC973F1-819F-4A22-BEDD-EC7D3006B8D4}"/>
    <cellStyle name="Normal 4 2 3 2" xfId="5435" xr:uid="{F8E33EAE-DC75-465E-92AE-9C21AE518C18}"/>
    <cellStyle name="Normal 4 2 4" xfId="757" xr:uid="{4C856BCA-5B23-4316-9368-6829607F6EEC}"/>
    <cellStyle name="Normal 4 2 5" xfId="7204" xr:uid="{A35C0BD0-500B-45BE-8AEF-5470ABE1FD96}"/>
    <cellStyle name="Normal 4 2 6" xfId="7240" xr:uid="{8DFFD625-DC66-4081-BD66-6CAEADEC356F}"/>
    <cellStyle name="Normal 4 3" xfId="133" xr:uid="{E3A969A7-5D3F-4309-821A-60783D92485B}"/>
    <cellStyle name="Normal 4 3 2" xfId="386" xr:uid="{50E7859D-E9E7-4E18-AAE0-EFC98D31B7F9}"/>
    <cellStyle name="Normal 4 3 2 2" xfId="1945" xr:uid="{BD56F7DA-E3C8-4DC3-88B6-F877D20863FC}"/>
    <cellStyle name="Normal 4 3 2 3" xfId="3002" xr:uid="{0C306093-5852-413B-8FC0-FC51512EF0B9}"/>
    <cellStyle name="Normal 4 3 2 4" xfId="4418" xr:uid="{0850884D-0E06-49FB-92E0-636A78AEE687}"/>
    <cellStyle name="Normal 4 3 2 5" xfId="5239" xr:uid="{40758A04-027D-46FD-9B7B-7653DB4B7C7F}"/>
    <cellStyle name="Normal 4 3 2 6" xfId="1927" xr:uid="{74FBA351-CC1E-4548-8159-67A6BEC22C1A}"/>
    <cellStyle name="Normal 4 3 3" xfId="1084" xr:uid="{06C61A92-2067-4D37-8767-32FDDA993993}"/>
    <cellStyle name="Normal 4 3 4" xfId="7138" xr:uid="{71BE12AD-E2DE-4D5B-BFDB-8972D716ED4E}"/>
    <cellStyle name="Normal 4 3 5" xfId="7053" xr:uid="{F55D910A-D413-4829-A37C-559E1E4FA7AF}"/>
    <cellStyle name="Normal 4 4" xfId="134" xr:uid="{B5467B40-3657-4358-9A85-0FA7826DE944}"/>
    <cellStyle name="Normal 4 4 2" xfId="557" xr:uid="{CFBC7817-53E6-451C-B76E-D17B3CB5ADDB}"/>
    <cellStyle name="Normal 4 4 2 2" xfId="4424" xr:uid="{498E6658-4494-4509-A2FC-F5D54E02E2A9}"/>
    <cellStyle name="Normal 4 4 2 3" xfId="5242" xr:uid="{83899449-6144-40B2-AA41-59630CC54928}"/>
    <cellStyle name="Normal 4 4 2 4" xfId="1934" xr:uid="{B383CBB7-850C-4BF8-BE85-F39F9A578BEC}"/>
    <cellStyle name="Normal 4 4 3" xfId="2963" xr:uid="{DAE11759-F166-43F6-A1B0-8F3A90CD5700}"/>
    <cellStyle name="Normal 4 4 3 2" xfId="4892" xr:uid="{143003AD-4281-4ED7-8D98-49A63F1B1A3A}"/>
    <cellStyle name="Normal 4 4 4" xfId="4384" xr:uid="{95786E92-F30D-4191-B141-3CC99AFEBA38}"/>
    <cellStyle name="Normal 4 4 5" xfId="3687" xr:uid="{DA19C62A-A164-44EC-9EAD-B64B0C98D9A4}"/>
    <cellStyle name="Normal 4 4 6" xfId="5200" xr:uid="{D8A1CFAC-0D9E-43DB-973B-4861BE069DE4}"/>
    <cellStyle name="Normal 4 4 7" xfId="1878" xr:uid="{B75E8A9B-FC1D-4A6B-883E-1FEC125BC50D}"/>
    <cellStyle name="Normal 4 4 8" xfId="7288" xr:uid="{D8B29AE0-DA90-4BC8-B56D-F21137702ECF}"/>
    <cellStyle name="Normal 4 5" xfId="131" xr:uid="{35816A9C-B357-4B0D-B02E-EE7BDB507F29}"/>
    <cellStyle name="Normal 4 5 2" xfId="1942" xr:uid="{6F813394-86B8-459C-97BC-3A27A6ED382C}"/>
    <cellStyle name="Normal 4 5 2 2" xfId="4891" xr:uid="{1EB808D1-58FA-4312-AB35-4E4E1CCB72C5}"/>
    <cellStyle name="Normal 4 5 3" xfId="2999" xr:uid="{AEB1294C-E91F-4791-BC33-E60DF552342D}"/>
    <cellStyle name="Normal 4 5 3 2" xfId="4415" xr:uid="{91E22C50-8C86-46E6-B10A-E11D770400AF}"/>
    <cellStyle name="Normal 4 5 4" xfId="3686" xr:uid="{0DDDDBF5-65CD-4C47-9068-05141E4AFD1F}"/>
    <cellStyle name="Normal 4 5 5" xfId="5236" xr:uid="{B584152E-F070-42C9-BFA0-3B43BD58ADC6}"/>
    <cellStyle name="Normal 4 5 6" xfId="1924" xr:uid="{EAF10FDC-A026-4A59-94F0-B5C138C47C57}"/>
    <cellStyle name="Normal 4 6" xfId="384" xr:uid="{96A48746-E86C-4EAC-BC1F-CFCA8D62A9D7}"/>
    <cellStyle name="Normal 4 6 2" xfId="3007" xr:uid="{ABE9BFA6-D676-445A-A75F-B8B9FDEB705E}"/>
    <cellStyle name="Normal 4 7" xfId="4978" xr:uid="{0E0D3297-9FB2-45C0-9509-B02EB89F8EDA}"/>
    <cellStyle name="Normal 4 8" xfId="5249" xr:uid="{EE0AE4F5-1EF0-4934-86F3-765B175E9B35}"/>
    <cellStyle name="Normal 4 9" xfId="630" xr:uid="{57DF5C6C-043E-450A-8C1F-6D1039FFA032}"/>
    <cellStyle name="Normal 4_Bank Recconcile 14 Oct 2016" xfId="3688" xr:uid="{F471EDD5-E7CC-4408-9106-7D59F3C69429}"/>
    <cellStyle name="Normal 40" xfId="201" xr:uid="{4B20D60A-0022-4357-B9A5-211C78AAAD26}"/>
    <cellStyle name="Normal 40 2" xfId="1825" xr:uid="{468991A5-65E4-49F5-835A-8969A594D1E4}"/>
    <cellStyle name="Normal 40 2 2" xfId="2535" xr:uid="{74B2E7EC-D69D-4C1C-A19F-BFE830F5169D}"/>
    <cellStyle name="Normal 40 2 2 2" xfId="4893" xr:uid="{CAE5AADD-B2AB-4B1E-83F2-952F1EBB519B}"/>
    <cellStyle name="Normal 40 2 2 2 2" xfId="6850" xr:uid="{A883E374-0759-4A74-8186-B2F890ECAFD0}"/>
    <cellStyle name="Normal 40 2 2 2 3" xfId="5830" xr:uid="{02872140-9BEC-44E5-8A5E-FBFFDFA33DFB}"/>
    <cellStyle name="Normal 40 2 2 3" xfId="6304" xr:uid="{015F04F7-9B1F-44AE-BE3B-4F163958F4B8}"/>
    <cellStyle name="Normal 40 2 3" xfId="2913" xr:uid="{78C1CFE8-CD3E-4693-95A0-B22251A7E336}"/>
    <cellStyle name="Normal 40 2 3 2" xfId="4340" xr:uid="{D7AFFDC0-E780-4FA9-A003-E7B00905048C}"/>
    <cellStyle name="Normal 40 2 4" xfId="2306" xr:uid="{77023DCF-7492-41CB-8B3A-16851AA6CBD4}"/>
    <cellStyle name="Normal 40 2 4 2" xfId="6480" xr:uid="{8F2B7BA3-9279-4C0F-92E8-2A90779C1808}"/>
    <cellStyle name="Normal 40 2 5" xfId="3689" xr:uid="{1B229F8A-D37B-4158-BA0F-2A7B5EB17575}"/>
    <cellStyle name="Normal 40 2 5 2" xfId="6151" xr:uid="{9E3515DF-132E-4D82-BEB7-07E7D3698873}"/>
    <cellStyle name="Normal 40 2 6" xfId="5151" xr:uid="{0B269865-E9E4-43F4-AAB4-DA56A826C270}"/>
    <cellStyle name="Normal 40 3" xfId="2441" xr:uid="{B466F18E-7BDF-4C93-82B1-9EC17C3D5D2F}"/>
    <cellStyle name="Normal 40 3 2" xfId="4494" xr:uid="{B5B99D42-C31A-459C-B150-627B6BBFCE12}"/>
    <cellStyle name="Normal 40 4" xfId="2747" xr:uid="{141C00BE-5544-4AD8-8D36-EA9A461A320B}"/>
    <cellStyle name="Normal 40 5" xfId="2201" xr:uid="{66925506-ED6A-4137-B0B2-9EECE68CA045}"/>
    <cellStyle name="Normal 40 6" xfId="3071" xr:uid="{72617FF2-99B1-46BD-90BA-D145C0271322}"/>
    <cellStyle name="Normal 40 7" xfId="1558" xr:uid="{60B8AA60-8CC7-4BBB-AF10-B3260F0149F0}"/>
    <cellStyle name="Normal 41" xfId="202" xr:uid="{E0AD358A-A1E9-40D3-8235-5F468045BFC0}"/>
    <cellStyle name="Normal 41 2" xfId="3690" xr:uid="{0E0C46AC-B9DA-4F97-A832-41786F2F6E7C}"/>
    <cellStyle name="Normal 41 3" xfId="1174" xr:uid="{AB61E13E-1B37-469D-AF55-BBBDA28F27C6}"/>
    <cellStyle name="Normal 42" xfId="203" xr:uid="{8B2C85DC-224B-45DE-BC8C-A4BA761A6A3F}"/>
    <cellStyle name="Normal 42 2" xfId="1873" xr:uid="{1D8C6ED8-667F-489D-AE8A-0BCF9104F213}"/>
    <cellStyle name="Normal 42 2 2" xfId="4894" xr:uid="{36B36271-E91F-4D3C-8E0D-03F06AF5D162}"/>
    <cellStyle name="Normal 42 2 3" xfId="4380" xr:uid="{8E04228D-CB14-4E0F-9F74-CA93E0412B3E}"/>
    <cellStyle name="Normal 42 2 4" xfId="3691" xr:uid="{7709A765-B5CB-4E11-A5F0-0288D9C62268}"/>
    <cellStyle name="Normal 42 3" xfId="4499" xr:uid="{F1065CC2-2160-4406-B2CF-E9A5EFDFEB89}"/>
    <cellStyle name="Normal 42 4" xfId="4203" xr:uid="{04F5F313-6468-4E68-A6DF-7063EB207A15}"/>
    <cellStyle name="Normal 42 5" xfId="3076" xr:uid="{F2E7A5CF-676B-4EC7-BDF4-A7E0D9C3DF01}"/>
    <cellStyle name="Normal 42 6" xfId="1565" xr:uid="{974F030B-E4BA-45DA-A936-B21FA8773026}"/>
    <cellStyle name="Normal 43" xfId="204" xr:uid="{89A02648-24C7-4748-BDA6-2CA4E08405D3}"/>
    <cellStyle name="Normal 43 2" xfId="2444" xr:uid="{DEBE2C78-D238-473E-A7B4-FB38E06CD844}"/>
    <cellStyle name="Normal 43 2 2" xfId="3692" xr:uid="{B218117B-89D0-4FEF-B0FB-269B6B2FE322}"/>
    <cellStyle name="Normal 43 3" xfId="2756" xr:uid="{32E5B200-6AB5-4AF6-A9FE-1D7489C6FCD1}"/>
    <cellStyle name="Normal 43 4" xfId="2208" xr:uid="{87836112-27C2-49AE-96F7-653E1D009FFD}"/>
    <cellStyle name="Normal 43 5" xfId="1570" xr:uid="{91A83711-7123-4729-B5D8-6E91E56225E2}"/>
    <cellStyle name="Normal 44" xfId="430" xr:uid="{7B0A7E9D-D619-4312-86EC-5CDAE06DF442}"/>
    <cellStyle name="Normal 44 2" xfId="2445" xr:uid="{C1539D81-DE22-476D-B8FE-A3D130056A64}"/>
    <cellStyle name="Normal 44 2 2" xfId="3693" xr:uid="{15A446CF-6F41-4E70-AB22-A2AF1F124C98}"/>
    <cellStyle name="Normal 44 3" xfId="2758" xr:uid="{A9A8D342-ABE9-49C6-82C3-D2FC8F5C50B7}"/>
    <cellStyle name="Normal 44 3 2" xfId="4529" xr:uid="{887012AC-4064-422A-840C-7233E6EF0C57}"/>
    <cellStyle name="Normal 44 4" xfId="2209" xr:uid="{04FD8D38-D4C3-459B-8736-1820DEDC8BFE}"/>
    <cellStyle name="Normal 44 4 2" xfId="4207" xr:uid="{AE51CAD8-AE87-49DA-9D8A-83D8D6354330}"/>
    <cellStyle name="Normal 44 5" xfId="3121" xr:uid="{64B37BED-7428-4CFB-B5F9-3B9F73FA2996}"/>
    <cellStyle name="Normal 44 6" xfId="1602" xr:uid="{671211D0-2A61-4EB7-B889-B92703AF7939}"/>
    <cellStyle name="Normal 45" xfId="809" xr:uid="{058BCE5C-25D6-4918-9F22-150A47F475D4}"/>
    <cellStyle name="Normal 45 2" xfId="2446" xr:uid="{4356D7D9-60F7-4C3E-9407-B213253ED9FB}"/>
    <cellStyle name="Normal 45 3" xfId="2762" xr:uid="{6198EF45-47C8-462C-8983-595A768A4960}"/>
    <cellStyle name="Normal 45 4" xfId="2210" xr:uid="{619D00F2-EE67-4D40-B986-F204A654738D}"/>
    <cellStyle name="Normal 45 5" xfId="1608" xr:uid="{8F730797-124B-419C-BB75-41B7E47EEB78}"/>
    <cellStyle name="Normal 46" xfId="422" xr:uid="{7F462A0C-FBC0-476C-88E6-62695BC6ED1C}"/>
    <cellStyle name="Normal 46 2" xfId="2447" xr:uid="{28696844-298F-499D-9A2A-F7B172F11309}"/>
    <cellStyle name="Normal 46 2 2" xfId="4850" xr:uid="{FA02BD3C-B902-4071-8948-ECE0AB93F0D1}"/>
    <cellStyle name="Normal 46 2 3" xfId="3629" xr:uid="{A0152238-2382-44A3-8D7A-EAC6C37279F3}"/>
    <cellStyle name="Normal 46 3" xfId="2767" xr:uid="{F4CA9E04-62BF-48D7-A185-B85323E6478E}"/>
    <cellStyle name="Normal 46 3 2" xfId="3934" xr:uid="{D87334E2-ACF5-4ECE-960A-32D60D77A2B5}"/>
    <cellStyle name="Normal 46 4" xfId="2211" xr:uid="{99C24CE9-B71D-4935-8788-DCADDEFF8F26}"/>
    <cellStyle name="Normal 46 4 2" xfId="4622" xr:uid="{96EE6196-ADA6-488C-ACD4-5FC17DFA0A60}"/>
    <cellStyle name="Normal 46 5" xfId="4214" xr:uid="{4BDD2AED-8870-4FA6-AB8A-7508D18D11DB}"/>
    <cellStyle name="Normal 46 6" xfId="3214" xr:uid="{74B44501-BF3A-41AF-A93F-287E34D2FEED}"/>
    <cellStyle name="Normal 46 7" xfId="1616" xr:uid="{11B97720-8E12-4CE8-8610-0F462EC02AB1}"/>
    <cellStyle name="Normal 46 8" xfId="7321" xr:uid="{F27B1213-87F8-4F33-9E2F-4370D34BED52}"/>
    <cellStyle name="Normal 47" xfId="815" xr:uid="{9DFD7335-A6D5-4EEA-A335-3343971AA060}"/>
    <cellStyle name="Normal 47 2" xfId="2448" xr:uid="{BAC2E5EB-709F-4DF9-8E54-631664D93E22}"/>
    <cellStyle name="Normal 47 2 2" xfId="4851" xr:uid="{5E20D792-E8F9-434D-B6DA-D86B5AAABA99}"/>
    <cellStyle name="Normal 47 2 3" xfId="3630" xr:uid="{E7D860DA-6DC4-46A4-BE6D-36FBCA776CFB}"/>
    <cellStyle name="Normal 47 3" xfId="2766" xr:uid="{B5E86901-803E-49F5-A7D9-F9CFCDD5203B}"/>
    <cellStyle name="Normal 47 3 2" xfId="3935" xr:uid="{33E8D630-5E66-463E-9103-E1609D4C8A45}"/>
    <cellStyle name="Normal 47 4" xfId="2212" xr:uid="{B80BFAA4-E556-4730-BA94-2459C54E58B1}"/>
    <cellStyle name="Normal 47 4 2" xfId="4623" xr:uid="{1B22C5FC-51B2-48B2-A336-A14D5EF2F1D9}"/>
    <cellStyle name="Normal 47 5" xfId="4213" xr:uid="{C86D3F1D-B290-46BD-AF97-3810437241B0}"/>
    <cellStyle name="Normal 47 6" xfId="3215" xr:uid="{E7DA5332-63A2-47DE-B7AF-81D35D41A2FA}"/>
    <cellStyle name="Normal 47 7" xfId="1615" xr:uid="{0539DB7F-8E8B-478F-AB27-D315F41A48D9}"/>
    <cellStyle name="Normal 48" xfId="1619" xr:uid="{E42B9B7E-8C11-43F9-A64D-A24BB6E19F6A}"/>
    <cellStyle name="Normal 48 2" xfId="1646" xr:uid="{329484F4-A031-4FFC-A673-C547259FAA5C}"/>
    <cellStyle name="Normal 48 2 2" xfId="4852" xr:uid="{EB136554-91D8-4BFE-A4D9-792A34BE9126}"/>
    <cellStyle name="Normal 48 2 3" xfId="4236" xr:uid="{1D4C76F7-66FB-4D1C-9DB2-E86C4EB8A0DF}"/>
    <cellStyle name="Normal 48 2 4" xfId="3631" xr:uid="{76AF68E9-8B05-42DE-A6AF-B04A4F686248}"/>
    <cellStyle name="Normal 48 3" xfId="1639" xr:uid="{55ECC526-8125-4616-BC47-CD139F4C2377}"/>
    <cellStyle name="Normal 48 3 2" xfId="4968" xr:uid="{FC488D2B-3DC5-441E-86C8-48E963243D47}"/>
    <cellStyle name="Normal 48 3 3" xfId="4229" xr:uid="{DFE1BAA4-6834-4CDC-840E-60DDB66683D7}"/>
    <cellStyle name="Normal 48 3 4" xfId="3936" xr:uid="{E0C941D8-54E6-421E-83DA-5A1E2B924279}"/>
    <cellStyle name="Normal 48 4" xfId="2769" xr:uid="{2744F5C9-4887-41DC-8AF1-C47620EBD46E}"/>
    <cellStyle name="Normal 48 4 2" xfId="4624" xr:uid="{FA6E7308-E2A8-46D8-B87A-B80E45D829BD}"/>
    <cellStyle name="Normal 48 5" xfId="2205" xr:uid="{12EFEB00-78CE-4445-A342-ED8C74DCC92A}"/>
    <cellStyle name="Normal 48 5 2" xfId="4216" xr:uid="{F9F128A6-CD09-4B99-AFBC-DC80B764E76B}"/>
    <cellStyle name="Normal 48 6" xfId="3216" xr:uid="{A14ED09B-54E1-42DC-B581-2879E43CB122}"/>
    <cellStyle name="Normal 49" xfId="1179" xr:uid="{2108D0E7-8924-44E1-A081-4B71844E4601}"/>
    <cellStyle name="Normal 49 2" xfId="2449" xr:uid="{A08638D4-5AE9-4C32-8623-4AF936A06CD4}"/>
    <cellStyle name="Normal 49 2 2" xfId="4853" xr:uid="{6A6C1E64-4F04-494D-AE32-295981484033}"/>
    <cellStyle name="Normal 49 2 3" xfId="3632" xr:uid="{38DEF9C4-16B7-439D-B026-C6D5586817BE}"/>
    <cellStyle name="Normal 49 3" xfId="2670" xr:uid="{53BD7FD6-D098-40C0-BC5C-63C0BDD10C7B}"/>
    <cellStyle name="Normal 49 3 2" xfId="3937" xr:uid="{FD655AF6-8577-4579-AF51-2C366427312D}"/>
    <cellStyle name="Normal 49 4" xfId="2213" xr:uid="{F39E5A86-C213-44DE-87F6-F21B0087E354}"/>
    <cellStyle name="Normal 49 4 2" xfId="4625" xr:uid="{5DA2485A-1DAD-4D84-8D11-69DA3D198A09}"/>
    <cellStyle name="Normal 49 5" xfId="4076" xr:uid="{518E54B3-245A-4E29-B220-D60843CF354D}"/>
    <cellStyle name="Normal 49 6" xfId="3217" xr:uid="{910AC70B-D88C-47B2-92DF-DD6EE6F66C7F}"/>
    <cellStyle name="Normal 5" xfId="15" xr:uid="{370B99E7-568A-4D00-8128-202087BE4DC2}"/>
    <cellStyle name="Normal 5 10" xfId="7338" xr:uid="{B7B93BE4-0F67-431A-9EF7-C86F9CBB9DF1}"/>
    <cellStyle name="Normal 5 2" xfId="135" xr:uid="{7D3D307E-311D-4341-8A66-0D89BFDD3B1C}"/>
    <cellStyle name="Normal 5 2 2" xfId="1766" xr:uid="{960E95CD-2A69-44DE-A232-D333438BCB49}"/>
    <cellStyle name="Normal 5 2 2 2" xfId="7177" xr:uid="{F025A096-6A2A-4C73-979A-BED13B178995}"/>
    <cellStyle name="Normal 5 3" xfId="389" xr:uid="{6A7C155B-FCB4-403A-A57D-5F24A79D81BC}"/>
    <cellStyle name="Normal 5 3 2" xfId="5442" xr:uid="{B3E704DC-3B34-4642-B0D2-00F738FD85A5}"/>
    <cellStyle name="Normal 5 3 2 2" xfId="7130" xr:uid="{78C0B1E2-32D1-4D58-ABB9-5F34443D16BC}"/>
    <cellStyle name="Normal 5 3 3" xfId="5459" xr:uid="{3C06A0F7-79F4-4DA2-91A1-F70BFE439081}"/>
    <cellStyle name="Normal 5 3 4" xfId="5630" xr:uid="{E0937433-E1B6-4206-BF9E-852E9429D786}"/>
    <cellStyle name="Normal 5 3 5" xfId="890" xr:uid="{81885B89-B1EA-46F7-9625-94FD7F6A6E22}"/>
    <cellStyle name="Normal 5 3 6" xfId="1085" xr:uid="{C9D0597A-8A20-4198-9BE0-27574B3B1EBC}"/>
    <cellStyle name="Normal 5 3 7" xfId="7210" xr:uid="{A3AAAF0B-5BD0-481A-93B6-71E033A17877}"/>
    <cellStyle name="Normal 5 4" xfId="459" xr:uid="{BF775A50-CF4E-46CA-AED3-872C528F6ABA}"/>
    <cellStyle name="Normal 5 4 2" xfId="4895" xr:uid="{3867194E-F87D-47CA-AB18-6F6AF880F49C}"/>
    <cellStyle name="Normal 5 4 3" xfId="4125" xr:uid="{F9FA32BE-4D8B-4C12-87CB-680552C59A24}"/>
    <cellStyle name="Normal 5 4 4" xfId="3695" xr:uid="{0E54B036-07C5-470A-9806-7F7934B48136}"/>
    <cellStyle name="Normal 5 4 5" xfId="1351" xr:uid="{F52BFC7A-9924-4235-B6FF-1C745DF5959C}"/>
    <cellStyle name="Normal 5 5" xfId="387" xr:uid="{850F6610-F683-4987-A942-12DFC005848D}"/>
    <cellStyle name="Normal 5 5 2" xfId="6010" xr:uid="{5C86CD35-241D-4B2E-BDE1-6FA4284150AC}"/>
    <cellStyle name="Normal 5 5 3" xfId="3696" xr:uid="{67860F2D-8681-4C35-890D-C7C9E2CE9560}"/>
    <cellStyle name="Normal 5 6" xfId="3694" xr:uid="{5C31EBAA-85F1-49CE-920A-1A57F59DF9D0}"/>
    <cellStyle name="Normal 5 7" xfId="813" xr:uid="{9EDF0584-FF2D-4C53-91B2-186B69F1312A}"/>
    <cellStyle name="Normal 5 8" xfId="712" xr:uid="{B1A78A84-0398-49DC-B3EC-8B8114D20D46}"/>
    <cellStyle name="Normal 5 9" xfId="7190" xr:uid="{D18C8E83-F1D2-46E2-B2E0-80CC658CC2D3}"/>
    <cellStyle name="Normal 5_TB" xfId="3697" xr:uid="{2D106933-ADAD-4AD4-8EF4-A2683D890C08}"/>
    <cellStyle name="Normal 50" xfId="1620" xr:uid="{6AE1CE8D-0B7B-480F-B9E0-91611B494AAC}"/>
    <cellStyle name="Normal 50 2" xfId="2450" xr:uid="{2B36D371-7CE4-4015-9278-C62822C71D10}"/>
    <cellStyle name="Normal 50 2 2" xfId="4531" xr:uid="{98D24E82-CA7A-4FB7-84CB-A9C4310B6467}"/>
    <cellStyle name="Normal 50 3" xfId="2770" xr:uid="{7615E14D-82AC-422A-B7AE-E84D85A769E4}"/>
    <cellStyle name="Normal 50 4" xfId="2214" xr:uid="{02FE1A15-C8D3-42EA-A2A1-CF4AD3D0C435}"/>
    <cellStyle name="Normal 50 5" xfId="3123" xr:uid="{6DD9B9AF-2957-4930-B517-4E72620ACAA1}"/>
    <cellStyle name="Normal 51" xfId="1623" xr:uid="{6CE3A1BE-121A-4D10-8482-668BECD1025F}"/>
    <cellStyle name="Normal 51 2" xfId="1635" xr:uid="{18687A39-6AD8-457F-A62D-D946FD9B3E17}"/>
    <cellStyle name="Normal 51 3" xfId="4534" xr:uid="{34E69422-4255-4CCB-A9E2-0FA38134B7D8}"/>
    <cellStyle name="Normal 51 4" xfId="4219" xr:uid="{193ABB62-20B7-4D16-AB19-1C6A409C2420}"/>
    <cellStyle name="Normal 51 5" xfId="3126" xr:uid="{7BF8C2DF-6480-40E8-A96B-D4BA73FE96C9}"/>
    <cellStyle name="Normal 52" xfId="1627" xr:uid="{DA18ECFD-DFAA-4BEA-B294-646BDE22E4DA}"/>
    <cellStyle name="Normal 52 10" xfId="7310" xr:uid="{D70BA6BC-BA02-4AC8-AB18-64EF33BAC55D}"/>
    <cellStyle name="Normal 52 2" xfId="1026" xr:uid="{5FF2C560-0F39-448E-B1F1-7CBDDEF97025}"/>
    <cellStyle name="Normal 52 2 2" xfId="1123" xr:uid="{1F78C477-C3B5-4BE6-962B-A5CCDF3D546C}"/>
    <cellStyle name="Normal 52 2 2 2" xfId="1680" xr:uid="{4FA7026F-BF2D-4F08-81D0-ACC35083E9A4}"/>
    <cellStyle name="Normal 52 2 2 2 2" xfId="2817" xr:uid="{4E62B8E1-4B36-40E4-806E-FCEEE2A94E7F}"/>
    <cellStyle name="Normal 52 2 2 2 2 2" xfId="5793" xr:uid="{27C024C3-BD9F-4F50-A9E3-E1A6A5511DD8}"/>
    <cellStyle name="Normal 52 2 2 2 2 2 2" xfId="6787" xr:uid="{E9ADC568-8D22-493C-98A2-6D608DAD3787}"/>
    <cellStyle name="Normal 52 2 2 2 2 3" xfId="6248" xr:uid="{A9233215-7854-417B-9A0A-3969D70BD4F1}"/>
    <cellStyle name="Normal 52 2 2 2 3" xfId="4264" xr:uid="{D1DD7E6E-26ED-45CC-9540-48E8536EADD6}"/>
    <cellStyle name="Normal 52 2 2 2 3 2" xfId="6625" xr:uid="{73003ED3-069E-48AD-B980-6FC6B9B4607F}"/>
    <cellStyle name="Normal 52 2 2 2 4" xfId="5087" xr:uid="{1339FE2B-B451-4D7B-95FD-376CC9B70B3B}"/>
    <cellStyle name="Normal 52 2 2 2 4 2" xfId="6420" xr:uid="{692DB232-E271-4674-9B39-09CE59C49E45}"/>
    <cellStyle name="Normal 52 2 2 2 5" xfId="6122" xr:uid="{2F75A9A2-A07E-4BA3-8CF4-FD8E8E8599F0}"/>
    <cellStyle name="Normal 52 2 2 3" xfId="1919" xr:uid="{0641265E-D6ED-4A14-8FD0-777E2547B254}"/>
    <cellStyle name="Normal 52 2 2 3 2" xfId="2995" xr:uid="{96F5CFA6-B9D4-481D-9E1F-5DD1E98CAD7B}"/>
    <cellStyle name="Normal 52 2 2 3 2 2" xfId="6731" xr:uid="{175214F7-A6C9-4CCA-853A-CDB67E5D993D}"/>
    <cellStyle name="Normal 52 2 2 3 3" xfId="4411" xr:uid="{EE5EB6AC-00D5-46CB-B12E-4C64E8D0386C}"/>
    <cellStyle name="Normal 52 2 2 3 3 2" xfId="6547" xr:uid="{7F8AC3B3-9F5C-4894-9345-95D99053AB7A}"/>
    <cellStyle name="Normal 52 2 2 3 4" xfId="5232" xr:uid="{030B4296-A2E0-44D8-8558-60EDA3B9B844}"/>
    <cellStyle name="Normal 52 2 2 4" xfId="2642" xr:uid="{B3A96FC3-E0AC-45E5-8626-9B09369E6231}"/>
    <cellStyle name="Normal 52 2 2 4 2" xfId="6576" xr:uid="{85A631F6-4F45-4CFB-88CD-9C4B7B36A5CF}"/>
    <cellStyle name="Normal 52 2 2 5" xfId="2555" xr:uid="{B3A26433-2991-4D84-9167-CF705ABAB6DA}"/>
    <cellStyle name="Normal 52 2 2 5 2" xfId="6364" xr:uid="{3A3F6E95-C63B-48DA-A464-046182ED2888}"/>
    <cellStyle name="Normal 52 2 2 6" xfId="4038" xr:uid="{D0BBA64D-D563-4EC1-8465-2A2F48B44BE6}"/>
    <cellStyle name="Normal 52 2 2 7" xfId="5029" xr:uid="{FBC1A695-29AC-4B77-B9F8-EDFE8942F9EF}"/>
    <cellStyle name="Normal 52 2 3" xfId="1166" xr:uid="{56BFA3A3-73C3-4AF8-BD94-1CD3BD8E998E}"/>
    <cellStyle name="Normal 52 2 3 2" xfId="2663" xr:uid="{F0165FBC-8B00-4934-8665-F91A60A13866}"/>
    <cellStyle name="Normal 52 2 3 2 2" xfId="5748" xr:uid="{50F05C0A-9A30-4BDF-8653-CB76B0CCA8F4}"/>
    <cellStyle name="Normal 52 2 3 2 2 2" xfId="6741" xr:uid="{A54897EF-810A-47C7-932E-6F9EDEF62901}"/>
    <cellStyle name="Normal 52 2 3 2 3" xfId="6203" xr:uid="{6B347966-F5E1-4461-80A0-E105BEDBFEFD}"/>
    <cellStyle name="Normal 52 2 3 3" xfId="4071" xr:uid="{CABE06DD-78C7-4E09-9747-BDF5CB3CD327}"/>
    <cellStyle name="Normal 52 2 3 3 2" xfId="6584" xr:uid="{09D19D36-1EEE-4165-8E2D-FDF0ED6E869C}"/>
    <cellStyle name="Normal 52 2 3 4" xfId="5041" xr:uid="{4AA2B828-B58D-4A18-B2A7-5B6280BD67F1}"/>
    <cellStyle name="Normal 52 2 3 4 2" xfId="6374" xr:uid="{520A1F43-3BB4-4F52-A423-F1819B229397}"/>
    <cellStyle name="Normal 52 2 3 5" xfId="6089" xr:uid="{99036980-3156-4B98-9B2E-E6BAE3C5D64B}"/>
    <cellStyle name="Normal 52 2 4" xfId="1647" xr:uid="{3F58E1F8-70B3-4C5C-B246-516AC94BE0E0}"/>
    <cellStyle name="Normal 52 2 4 2" xfId="2790" xr:uid="{DD9E2F54-0AB1-4833-9846-4398C70BF483}"/>
    <cellStyle name="Normal 52 2 4 2 2" xfId="5767" xr:uid="{C8F14883-BCC5-45F0-A166-FF2A72A2DFE2}"/>
    <cellStyle name="Normal 52 2 4 2 2 2" xfId="6761" xr:uid="{EF6BB9AF-F581-4C48-9C13-958BA9FCBD77}"/>
    <cellStyle name="Normal 52 2 4 2 3" xfId="6222" xr:uid="{A98D0DF6-44F2-443D-82DD-9F586211FC53}"/>
    <cellStyle name="Normal 52 2 4 3" xfId="4237" xr:uid="{2A4374C3-CD29-42FB-83B1-F464CC2B5FBC}"/>
    <cellStyle name="Normal 52 2 4 3 2" xfId="6601" xr:uid="{CE0EA8BF-87CD-435C-88FA-68A4117CDFBF}"/>
    <cellStyle name="Normal 52 2 4 4" xfId="5061" xr:uid="{749197C1-D6A0-4649-B50A-1C28AEC9017E}"/>
    <cellStyle name="Normal 52 2 4 4 2" xfId="6394" xr:uid="{692A1378-3658-44D1-B73A-34F97736E9F4}"/>
    <cellStyle name="Normal 52 2 4 5" xfId="6105" xr:uid="{E9A58338-4FB5-4829-909E-99F43EBD1A90}"/>
    <cellStyle name="Normal 52 2 5" xfId="1900" xr:uid="{97ABEECF-7FFD-4853-8BDF-7F43A5A16F4E}"/>
    <cellStyle name="Normal 52 2 5 2" xfId="2978" xr:uid="{BF554080-39DA-496E-8885-247B7C73EEA3}"/>
    <cellStyle name="Normal 52 2 5 2 2" xfId="6716" xr:uid="{D887D526-3A59-4CBC-85AA-11CF480B2C6F}"/>
    <cellStyle name="Normal 52 2 5 3" xfId="4398" xr:uid="{01B75520-C149-4D05-B588-75420368FDD0}"/>
    <cellStyle name="Normal 52 2 5 3 2" xfId="6532" xr:uid="{3D83C33C-223C-45C5-AE84-5F3DFD2E600A}"/>
    <cellStyle name="Normal 52 2 5 4" xfId="5215" xr:uid="{3A4FAE19-8BA3-4ED5-9EA9-5D106EFA95ED}"/>
    <cellStyle name="Normal 52 2 6" xfId="2601" xr:uid="{0EDBB874-1648-4937-9B7A-8EA2CE827DE4}"/>
    <cellStyle name="Normal 52 2 6 2" xfId="6565" xr:uid="{347807D6-E2C5-4414-B754-57283B3376FC}"/>
    <cellStyle name="Normal 52 2 7" xfId="2346" xr:uid="{0747730F-D5CC-4918-994D-6953C4A87B9E}"/>
    <cellStyle name="Normal 52 2 7 2" xfId="6351" xr:uid="{60AF9321-B89A-420B-88C3-689AA0FEF71E}"/>
    <cellStyle name="Normal 52 2 8" xfId="3995" xr:uid="{50E3AD9E-634A-4E6F-9E85-49A0F7557BE7}"/>
    <cellStyle name="Normal 52 2 9" xfId="5012" xr:uid="{C1FADE43-93E3-4CE8-8560-AA0C1A0C9B7F}"/>
    <cellStyle name="Normal 52 3" xfId="1664" xr:uid="{FBC8BF2E-2041-4DB4-9A7A-3BFC27DF5602}"/>
    <cellStyle name="Normal 52 3 2" xfId="1690" xr:uid="{7AC2F7CF-7528-456F-822F-96D35EDDED28}"/>
    <cellStyle name="Normal 52 3 2 2" xfId="2827" xr:uid="{E2010B5C-8676-4996-9FF4-5E8358515154}"/>
    <cellStyle name="Normal 52 3 2 2 2" xfId="5803" xr:uid="{2B3CD535-79E6-475C-85D5-19B4B675997A}"/>
    <cellStyle name="Normal 52 3 2 2 2 2" xfId="6797" xr:uid="{F3A164C2-5C4A-448A-9CC7-C4D12412AF45}"/>
    <cellStyle name="Normal 52 3 2 2 3" xfId="6258" xr:uid="{4EA6D755-CF6B-40CF-9873-48FE5F2C6B4A}"/>
    <cellStyle name="Normal 52 3 2 3" xfId="4274" xr:uid="{B5F79947-5BC7-4DF1-87B8-BD9AD60D3313}"/>
    <cellStyle name="Normal 52 3 2 3 2" xfId="6635" xr:uid="{80914FEA-D869-468F-A783-8B47062F307C}"/>
    <cellStyle name="Normal 52 3 2 4" xfId="5097" xr:uid="{8EEF4C4D-7CC2-4329-83E0-E84D4C68D573}"/>
    <cellStyle name="Normal 52 3 2 4 2" xfId="6430" xr:uid="{77D613EF-3944-4F49-9961-4D6B5900387E}"/>
    <cellStyle name="Normal 52 3 2 5" xfId="6130" xr:uid="{C5655C1A-8945-4C93-AB41-777517BC64D1}"/>
    <cellStyle name="Normal 52 3 3" xfId="2801" xr:uid="{ECBDC748-4C3A-4586-B4FE-6F01518F63C7}"/>
    <cellStyle name="Normal 52 3 3 2" xfId="5777" xr:uid="{9082D0A9-1BAE-4DEB-A05F-2A8F9DAEE138}"/>
    <cellStyle name="Normal 52 3 3 2 2" xfId="6771" xr:uid="{29C0121F-7E80-4060-AAA1-65BDBCF55F7D}"/>
    <cellStyle name="Normal 52 3 3 3" xfId="6232" xr:uid="{B5DC0C4E-51BB-4D57-89EC-834A159C0776}"/>
    <cellStyle name="Normal 52 3 4" xfId="4248" xr:uid="{597069F2-52CE-416F-89B8-DFB403E13114}"/>
    <cellStyle name="Normal 52 3 4 2" xfId="6610" xr:uid="{87F51333-17A7-4B54-A16D-B0FC5440ABCE}"/>
    <cellStyle name="Normal 52 3 5" xfId="5071" xr:uid="{E861F03E-AE3F-4F23-A572-D86EA8EF4C1F}"/>
    <cellStyle name="Normal 52 3 5 2" xfId="6404" xr:uid="{87DCC322-1470-41E2-B598-1FFD88306D22}"/>
    <cellStyle name="Normal 52 3 6" xfId="6111" xr:uid="{2906DB51-2641-4199-AE41-28F61EE3FE2D}"/>
    <cellStyle name="Normal 52 4" xfId="1640" xr:uid="{2923631E-DFFA-47FD-947F-A53E0E41C60D}"/>
    <cellStyle name="Normal 52 4 2" xfId="2785" xr:uid="{907C9E3E-BFE6-4DB2-942A-0F0BAE3E886F}"/>
    <cellStyle name="Normal 52 4 2 2" xfId="5762" xr:uid="{87591B44-26D0-4190-954E-25ABBF3FFFA8}"/>
    <cellStyle name="Normal 52 4 2 2 2" xfId="6756" xr:uid="{9C54F3A5-EF7B-4028-87BA-754326CAF8FE}"/>
    <cellStyle name="Normal 52 4 2 3" xfId="6217" xr:uid="{70594EF5-344A-4F46-A924-3C27BA97555F}"/>
    <cellStyle name="Normal 52 4 3" xfId="4230" xr:uid="{ECA8D853-FFEB-40E3-97CC-4210CB183996}"/>
    <cellStyle name="Normal 52 4 3 2" xfId="6596" xr:uid="{D8E4F92E-7D05-4202-8CBD-E0F0C38A89F0}"/>
    <cellStyle name="Normal 52 4 4" xfId="5056" xr:uid="{9A3DE484-BD87-4C9B-9E8B-6F258954EFDF}"/>
    <cellStyle name="Normal 52 4 4 2" xfId="6389" xr:uid="{D26752F2-08D6-4340-A575-76058012415D}"/>
    <cellStyle name="Normal 52 4 5" xfId="6099" xr:uid="{F9032AAD-FC82-4C00-9568-AA854D51E30F}"/>
    <cellStyle name="Normal 52 5" xfId="1675" xr:uid="{8083DA53-5535-479B-9668-E8ED3B186493}"/>
    <cellStyle name="Normal 52 5 2" xfId="2812" xr:uid="{6CE1C49F-5A5B-461C-B81A-27FA34557D2E}"/>
    <cellStyle name="Normal 52 5 2 2" xfId="5788" xr:uid="{9BBDCEE6-9CE3-45D3-946A-5E735D0A2F56}"/>
    <cellStyle name="Normal 52 5 2 2 2" xfId="6782" xr:uid="{48C1B58D-21D3-4AF7-9766-CB65B0048FEE}"/>
    <cellStyle name="Normal 52 5 2 3" xfId="6243" xr:uid="{91091045-295D-49DB-AB2B-4E812256362B}"/>
    <cellStyle name="Normal 52 5 3" xfId="4259" xr:uid="{2B2BF957-6D6F-4A41-9AFA-31B028205BB9}"/>
    <cellStyle name="Normal 52 5 3 2" xfId="6620" xr:uid="{7E6E5253-78D1-48CC-901A-AE8D4F0CF743}"/>
    <cellStyle name="Normal 52 5 4" xfId="5082" xr:uid="{16BC7311-0FB5-42E0-A26B-D1B057A5CA6E}"/>
    <cellStyle name="Normal 52 5 4 2" xfId="6415" xr:uid="{70E2F895-5280-4DA6-94DD-27B033D76E3C}"/>
    <cellStyle name="Normal 52 5 5" xfId="6117" xr:uid="{6E98A068-65C6-4572-BAD1-CD3620C27256}"/>
    <cellStyle name="Normal 52 6" xfId="2774" xr:uid="{7692C84A-C877-4091-877D-D3C6832E8DF1}"/>
    <cellStyle name="Normal 52 6 2" xfId="4720" xr:uid="{04D69512-BE38-405D-ADBF-CDFBC5E0A8A3}"/>
    <cellStyle name="Normal 52 6 2 2" xfId="6749" xr:uid="{5589ED6E-1984-40CC-8B3B-F29E38441616}"/>
    <cellStyle name="Normal 52 6 2 3" xfId="5755" xr:uid="{FADFED7C-A3D0-4BA6-9BAD-4E871999E07E}"/>
    <cellStyle name="Normal 52 6 3" xfId="6210" xr:uid="{7F1F871C-763E-467E-97DB-8752F5A69BE1}"/>
    <cellStyle name="Normal 52 7" xfId="2215" xr:uid="{D7B43A80-9F6C-4F82-A021-D44E49E5D20E}"/>
    <cellStyle name="Normal 52 7 2" xfId="4221" xr:uid="{F1615665-2220-4DFD-B73D-F1AAAFF5C990}"/>
    <cellStyle name="Normal 52 8" xfId="3413" xr:uid="{BEA82AA7-ACB4-491A-951A-067315A00CA1}"/>
    <cellStyle name="Normal 52 8 2" xfId="6382" xr:uid="{0E3A731E-D7C9-40C5-9F70-64953FFFA054}"/>
    <cellStyle name="Normal 52 8 3" xfId="5554" xr:uid="{56E45D4C-8494-4364-936E-58AE31645D1C}"/>
    <cellStyle name="Normal 52 9" xfId="5049" xr:uid="{F793B4C8-E983-4F40-BAB2-F7804B90C201}"/>
    <cellStyle name="Normal 53" xfId="1654" xr:uid="{C44EB587-1D37-4716-BD9E-05FF7189387F}"/>
    <cellStyle name="Normal 53 2" xfId="1669" xr:uid="{7C9AE3F6-E4A5-46F8-A644-242937EF28EA}"/>
    <cellStyle name="Normal 53 2 2" xfId="1695" xr:uid="{2BF7F282-4F7E-4813-8248-991317D984AD}"/>
    <cellStyle name="Normal 53 2 2 2" xfId="2832" xr:uid="{82307252-35E3-4230-B361-C115163FDF93}"/>
    <cellStyle name="Normal 53 2 2 2 2" xfId="5808" xr:uid="{49D2424E-22AE-4DC1-A885-74BC85E28E0B}"/>
    <cellStyle name="Normal 53 2 2 2 2 2" xfId="6802" xr:uid="{F561491D-A6C0-4CB7-AD69-824BBC0A5471}"/>
    <cellStyle name="Normal 53 2 2 2 3" xfId="6263" xr:uid="{F786A1C6-79DF-4E38-BA5A-97829B4BE1D2}"/>
    <cellStyle name="Normal 53 2 2 3" xfId="4279" xr:uid="{C52E8955-7613-44C9-A1D8-9505068C1D19}"/>
    <cellStyle name="Normal 53 2 2 3 2" xfId="6640" xr:uid="{4456DC9A-706A-4BB8-9080-B1E77F919ADE}"/>
    <cellStyle name="Normal 53 2 2 4" xfId="5102" xr:uid="{E59B5C1F-077C-4E9B-8B20-4A199E9FB74F}"/>
    <cellStyle name="Normal 53 2 2 4 2" xfId="6435" xr:uid="{7F8B0D8B-01ED-4EFF-A75A-094C6E43266A}"/>
    <cellStyle name="Normal 53 2 2 5" xfId="6134" xr:uid="{8396ABC8-B039-4B9C-A385-B5DAA860B2F4}"/>
    <cellStyle name="Normal 53 2 3" xfId="2806" xr:uid="{1896747F-38BA-4523-B694-16FB9D85D408}"/>
    <cellStyle name="Normal 53 2 3 2" xfId="5782" xr:uid="{66E98127-EE16-46A9-A840-9544E53E887E}"/>
    <cellStyle name="Normal 53 2 3 2 2" xfId="6776" xr:uid="{8362C82E-5C5B-4FDF-A3CC-66B58000621F}"/>
    <cellStyle name="Normal 53 2 3 3" xfId="6237" xr:uid="{AD95B187-5A5D-46A3-A86D-ED5015629F08}"/>
    <cellStyle name="Normal 53 2 4" xfId="4253" xr:uid="{2ED375A7-CBF0-46CA-B0AD-B3A8F1C7C640}"/>
    <cellStyle name="Normal 53 2 4 2" xfId="6615" xr:uid="{75D4EE6B-95A0-4054-9F76-B6BB6B7D535C}"/>
    <cellStyle name="Normal 53 2 5" xfId="5076" xr:uid="{5CEBCAEA-CB8B-4EBB-92A9-DBF1ACC251E0}"/>
    <cellStyle name="Normal 53 2 5 2" xfId="6409" xr:uid="{5B85F24F-D893-4EE4-9773-10364BB15E0C}"/>
    <cellStyle name="Normal 53 2 6" xfId="6113" xr:uid="{3D17FC2A-7A1E-4FC8-8B61-488B546E0338}"/>
    <cellStyle name="Normal 53 3" xfId="1685" xr:uid="{F0247A49-7DFC-475B-B4B8-56C18DA7C5DD}"/>
    <cellStyle name="Normal 53 3 2" xfId="2822" xr:uid="{14BABE55-C8D4-4D97-B67C-89763B0D971F}"/>
    <cellStyle name="Normal 53 3 2 2" xfId="5798" xr:uid="{2A92863C-DB25-436A-910F-8D4F845A7118}"/>
    <cellStyle name="Normal 53 3 2 2 2" xfId="6792" xr:uid="{6612AB69-F900-42D6-B58B-A9A588746E31}"/>
    <cellStyle name="Normal 53 3 2 3" xfId="6253" xr:uid="{F0B547C0-C949-4731-A26A-26A12E47E9BB}"/>
    <cellStyle name="Normal 53 3 3" xfId="4269" xr:uid="{A5874E4C-D1BF-4AE6-BCAA-B91C704949C9}"/>
    <cellStyle name="Normal 53 3 3 2" xfId="6630" xr:uid="{4AD67A2E-530B-4DA7-B6F5-23DCD5B22AD0}"/>
    <cellStyle name="Normal 53 3 4" xfId="5092" xr:uid="{08955A3C-08D9-4C9F-A7A6-17A858251363}"/>
    <cellStyle name="Normal 53 3 4 2" xfId="6425" xr:uid="{2FE43E9F-7E04-4B4B-B670-6E1CAC02663D}"/>
    <cellStyle name="Normal 53 3 5" xfId="6125" xr:uid="{A884C41D-A70B-4CE7-A825-3ACE0AB7CA03}"/>
    <cellStyle name="Normal 53 4" xfId="2796" xr:uid="{C41C3C70-EC8F-4818-A6A4-4F0A23F11310}"/>
    <cellStyle name="Normal 53 4 2" xfId="4923" xr:uid="{954DD8A0-57DD-4001-A1FB-2A3165438DDD}"/>
    <cellStyle name="Normal 53 4 2 2" xfId="6766" xr:uid="{4FD297FE-42E9-410B-B0E6-CC935D6EB76F}"/>
    <cellStyle name="Normal 53 4 2 3" xfId="5772" xr:uid="{C26D53C2-084E-4AB9-80AC-5C1D10FFFCBA}"/>
    <cellStyle name="Normal 53 4 3" xfId="6227" xr:uid="{A666D0D1-E583-47B1-A834-B952CDD1D4ED}"/>
    <cellStyle name="Normal 53 5" xfId="2222" xr:uid="{E2962754-D329-4975-B092-1A0E098FAF03}"/>
    <cellStyle name="Normal 53 5 2" xfId="4243" xr:uid="{F810C2EF-11A7-4E16-A819-5D060E8A3B3A}"/>
    <cellStyle name="Normal 53 6" xfId="3821" xr:uid="{3BB0E071-02D9-44B6-90DA-D889D6FF20F1}"/>
    <cellStyle name="Normal 53 6 2" xfId="6399" xr:uid="{BBC6E727-410A-497C-A908-CD1C6BE193E7}"/>
    <cellStyle name="Normal 53 6 3" xfId="5565" xr:uid="{FE055F19-3D50-4314-BFBA-788F1719A575}"/>
    <cellStyle name="Normal 53 7" xfId="5066" xr:uid="{891D1138-22C6-42C4-BA1D-ECBDE08801F2}"/>
    <cellStyle name="Normal 54" xfId="1642" xr:uid="{B545BC25-43C8-49A3-876E-34219EE90784}"/>
    <cellStyle name="Normal 54 2" xfId="4925" xr:uid="{A2BDCD7A-147A-4A9F-8D15-9BAB2FB006EF}"/>
    <cellStyle name="Normal 54 3" xfId="4232" xr:uid="{52889077-2E02-46EB-8677-4E5DAD009BD8}"/>
    <cellStyle name="Normal 54 4" xfId="3824" xr:uid="{0AE8C8F5-D09C-4147-A527-070E4C399425}"/>
    <cellStyle name="Normal 54 5" xfId="7098" xr:uid="{4914B18D-BA4D-420F-B26C-05007CE4CAE2}"/>
    <cellStyle name="Normal 55" xfId="1671" xr:uid="{9CDD2CE6-59D3-40BB-9492-133B5B40B52F}"/>
    <cellStyle name="Normal 55 2" xfId="1697" xr:uid="{173D55E0-4CB0-4502-ABD0-4BB95404A594}"/>
    <cellStyle name="Normal 55 2 2" xfId="2834" xr:uid="{E4E44413-1990-4D74-9EE5-4AFE8C55536C}"/>
    <cellStyle name="Normal 55 2 2 2" xfId="5810" xr:uid="{5C2C3DB4-6F71-4E11-9A20-2F597E87A69F}"/>
    <cellStyle name="Normal 55 2 2 2 2" xfId="6804" xr:uid="{E4AA50A8-D40F-4A7C-8C31-B665FD606A24}"/>
    <cellStyle name="Normal 55 2 2 3" xfId="6265" xr:uid="{E6D5D6A5-DE51-4ABE-B40C-9CA1FE3C6B71}"/>
    <cellStyle name="Normal 55 2 3" xfId="2453" xr:uid="{EC73D5D4-0BA9-4D17-9151-F6FD4C393EA2}"/>
    <cellStyle name="Normal 55 2 3 2" xfId="6642" xr:uid="{3D503617-CF74-436B-9F76-4203333801E5}"/>
    <cellStyle name="Normal 55 2 4" xfId="4281" xr:uid="{773D9CF9-7CBF-4763-8DB3-486D6C011420}"/>
    <cellStyle name="Normal 55 2 4 2" xfId="6437" xr:uid="{D5DE7AA3-FC74-4A2B-A84B-0EBF70761577}"/>
    <cellStyle name="Normal 55 2 5" xfId="5104" xr:uid="{845E9AC4-479B-4AB7-AC18-7CB5A81CE2BA}"/>
    <cellStyle name="Normal 55 3" xfId="2808" xr:uid="{8E74B6E8-FC32-44B9-A736-4AED8001F084}"/>
    <cellStyle name="Normal 55 3 2" xfId="4927" xr:uid="{9B7CB13C-CA64-4976-B331-568C511D6AEB}"/>
    <cellStyle name="Normal 55 3 2 2" xfId="6778" xr:uid="{0BF609F5-0114-4121-A558-208D2C4B58E0}"/>
    <cellStyle name="Normal 55 3 2 3" xfId="5784" xr:uid="{B2D06A81-66F0-47BD-BCB6-BC75C65940AA}"/>
    <cellStyle name="Normal 55 3 3" xfId="6239" xr:uid="{8CA51D6D-FFF0-4E62-BAAE-7B370F7030B0}"/>
    <cellStyle name="Normal 55 4" xfId="2221" xr:uid="{140267C6-ED3D-4166-BB27-1BE2395963F8}"/>
    <cellStyle name="Normal 55 4 2" xfId="4255" xr:uid="{536F5E4D-4369-40CD-8A94-15EB705449F4}"/>
    <cellStyle name="Normal 55 5" xfId="3826" xr:uid="{8BB89790-A17F-4F84-A114-81CC5D84645A}"/>
    <cellStyle name="Normal 55 5 2" xfId="6411" xr:uid="{F019942B-229A-4838-8D85-4BCD71E64A56}"/>
    <cellStyle name="Normal 55 5 3" xfId="5568" xr:uid="{72101E87-88CC-42E7-AE66-7645B91C439F}"/>
    <cellStyle name="Normal 55 6" xfId="5078" xr:uid="{BF21036F-FFFF-4196-9DC0-72A64DE8EFE6}"/>
    <cellStyle name="Normal 55 7" xfId="7051" xr:uid="{0D8C8AC3-05AD-4F70-A045-216AB5E80AD9}"/>
    <cellStyle name="Normal 56" xfId="1175" xr:uid="{DADE47F5-2C20-4D4E-B743-B89AEC019230}"/>
    <cellStyle name="Normal 56 2" xfId="2538" xr:uid="{2B6FBC68-5A4D-4B8E-BB5A-0BDC1C133832}"/>
    <cellStyle name="Normal 56 3" xfId="2668" xr:uid="{9F69BDE0-55A5-4034-80F1-CB7CA0824B3C}"/>
    <cellStyle name="Normal 56 4" xfId="2310" xr:uid="{47E5825E-A078-4E23-95C7-68F91CD38FCB}"/>
    <cellStyle name="Normal 57" xfId="1384" xr:uid="{C79A9916-8086-46A9-B1D6-E34C44EAF224}"/>
    <cellStyle name="Normal 57 2" xfId="2543" xr:uid="{4A559FF5-15D1-482B-A31D-B7F517441146}"/>
    <cellStyle name="Normal 57 3" xfId="2692" xr:uid="{B0E29617-5B9D-416F-B8A3-356D9E3EE068}"/>
    <cellStyle name="Normal 57 4" xfId="2319" xr:uid="{D999CF0B-77A1-4A96-9F4C-975B778FCA89}"/>
    <cellStyle name="Normal 58" xfId="1716" xr:uid="{A05FD14C-70AD-427F-9DCF-BC9F14C61383}"/>
    <cellStyle name="Normal 58 2" xfId="2841" xr:uid="{F5310193-7CD1-4462-8F87-C9AD245174D9}"/>
    <cellStyle name="Normal 58 3" xfId="2323" xr:uid="{B219855A-F955-4E06-8D10-FE512CA0D976}"/>
    <cellStyle name="Normal 59" xfId="1736" xr:uid="{BF59DAAA-DEB0-435F-836F-29ACB79DD16B}"/>
    <cellStyle name="Normal 59 2" xfId="2851" xr:uid="{2689E394-9211-4376-B92D-96771D49556B}"/>
    <cellStyle name="Normal 59 2 2" xfId="5414" xr:uid="{ECBDBF55-1961-4C71-8E66-C96F4E5B5B18}"/>
    <cellStyle name="Normal 59 3" xfId="2396" xr:uid="{6AB75382-764C-4669-9282-DB867ABD1909}"/>
    <cellStyle name="Normal 6" xfId="14" xr:uid="{0A0D7D0A-D37F-44A6-B66E-7C698BFF5504}"/>
    <cellStyle name="Normal 6 10" xfId="1027" xr:uid="{E503914E-5C9B-4BF5-883A-BEBA6494C0C2}"/>
    <cellStyle name="Normal 6 11" xfId="884" xr:uid="{27DF86D8-F70F-469E-BD69-FBE5C7E86A93}"/>
    <cellStyle name="Normal 6 12" xfId="927" xr:uid="{D3AAC95A-6F01-45DC-AA32-4D942983098A}"/>
    <cellStyle name="Normal 6 13" xfId="7072" xr:uid="{3BC3D0FF-CBE5-4AE5-B10B-F60A4C15E0C6}"/>
    <cellStyle name="Normal 6 2" xfId="26" xr:uid="{868D7936-57CA-4301-B9F2-C5FF5DE60C3B}"/>
    <cellStyle name="Normal 6 2 2" xfId="391" xr:uid="{72A2BB80-3847-4D58-8CC2-04089E878935}"/>
    <cellStyle name="Normal 6 2 2 2" xfId="2781" xr:uid="{C92E27C8-A437-498B-9BF7-749DA1EED5C1}"/>
    <cellStyle name="Normal 6 2 2 2 2" xfId="5961" xr:uid="{11F6C4D2-BF35-4C21-9643-6A6FD8C5719C}"/>
    <cellStyle name="Normal 6 2 2 3" xfId="2332" xr:uid="{53BE34A2-97B3-4594-8CE9-EC81B68A3A75}"/>
    <cellStyle name="Normal 6 2 2 3 2" xfId="5879" xr:uid="{5E77B4BD-1AD6-42C8-9CFB-A9A74144DF75}"/>
    <cellStyle name="Normal 6 2 2 3 3" xfId="5560" xr:uid="{DB67548C-3E3C-42A2-B75C-53BE86F26074}"/>
    <cellStyle name="Normal 6 2 2 4" xfId="1634" xr:uid="{D6425719-E74D-43EE-BFBC-50AEEC9E9297}"/>
    <cellStyle name="Normal 6 2 3" xfId="1430" xr:uid="{514CE295-F50F-4501-9B42-C3CB1DAC8D48}"/>
    <cellStyle name="Normal 6 2 4" xfId="4896" xr:uid="{EE6A9D99-CB9C-4294-9396-6C6CF15761AE}"/>
    <cellStyle name="Normal 6 2 4 2" xfId="5436" xr:uid="{4F138931-1E55-443E-BBD6-546AC40811D8}"/>
    <cellStyle name="Normal 6 2 5" xfId="3979" xr:uid="{34C8C4F8-505A-49C2-878E-C547A554A480}"/>
    <cellStyle name="Normal 6 2 5 2" xfId="6064" xr:uid="{9CCA9939-4D53-45C2-8025-B7F08FDDE365}"/>
    <cellStyle name="Normal 6 2 6" xfId="3699" xr:uid="{5C2772E4-B108-4987-8D7E-7FFE8821ED37}"/>
    <cellStyle name="Normal 6 3" xfId="136" xr:uid="{5B38618A-7907-426C-993B-D23768F3AA9C}"/>
    <cellStyle name="Normal 6 3 2" xfId="460" xr:uid="{9E788D40-E61C-409C-83D3-6FDB5AA13DDC}"/>
    <cellStyle name="Normal 6 3 2 2" xfId="1549" xr:uid="{36F89983-784B-4D89-AEF2-4738D3F1088F}"/>
    <cellStyle name="Normal 6 3 3" xfId="4897" xr:uid="{7209F20E-A0B2-4BF2-B333-1684F0360CA6}"/>
    <cellStyle name="Normal 6 3 4" xfId="4019" xr:uid="{CFF325B2-9ABC-4250-8926-029D987FE82B}"/>
    <cellStyle name="Normal 6 3 5" xfId="3700" xr:uid="{1C6C6F6C-87FA-4DD3-B29D-126D5C249713}"/>
    <cellStyle name="Normal 6 3 6" xfId="1086" xr:uid="{A20C1732-05D4-405F-A900-CBA14F559B1D}"/>
    <cellStyle name="Normal 6 3 7" xfId="7200" xr:uid="{7001AB86-F038-4FA9-B2FF-43C5C60EBEEC}"/>
    <cellStyle name="Normal 6 4" xfId="580" xr:uid="{EA456528-2280-4FAA-9528-19B5CB9BCCAA}"/>
    <cellStyle name="Normal 6 4 2" xfId="5727" xr:uid="{F5F8A174-DEDA-40A8-95D1-248CFF7E2644}"/>
    <cellStyle name="Normal 6 4 2 2" xfId="6693" xr:uid="{06D77E25-22C0-43FA-96B9-960161F2F33B}"/>
    <cellStyle name="Normal 6 4 3" xfId="6171" xr:uid="{F95AE770-BB43-4324-9E4B-5DD308A45219}"/>
    <cellStyle name="Normal 6 4 4" xfId="5447" xr:uid="{CCE7AC5C-8D76-40DF-9DC5-7A65D11A1AC5}"/>
    <cellStyle name="Normal 6 4 5" xfId="3698" xr:uid="{2C7AE1D8-A8A6-4E04-BD49-122740D7DD05}"/>
    <cellStyle name="Normal 6 4 8" xfId="7286" xr:uid="{4D043659-88B0-4A39-89A4-980E86B57DFC}"/>
    <cellStyle name="Normal 6 5" xfId="390" xr:uid="{6AD81470-2058-42C5-BCDE-FE7210C36E8A}"/>
    <cellStyle name="Normal 6 5 2" xfId="5732" xr:uid="{2884B0D9-4DDE-42D0-BE13-0B82196D49F7}"/>
    <cellStyle name="Normal 6 5 2 2" xfId="6699" xr:uid="{4F94BA01-5C1A-4678-8AB2-968706CF9730}"/>
    <cellStyle name="Normal 6 5 3" xfId="6177" xr:uid="{75A7E866-5FEC-491F-A829-9BE64D080974}"/>
    <cellStyle name="Normal 6 5 4" xfId="5453" xr:uid="{57E46226-C34E-4D32-BDFD-61FB78D4995A}"/>
    <cellStyle name="Normal 6 6" xfId="5612" xr:uid="{AB5F7A5E-F080-4386-851F-F4178685095C}"/>
    <cellStyle name="Normal 6 6 2" xfId="6550" xr:uid="{AA486831-0C42-43FF-BD32-3E976744341C}"/>
    <cellStyle name="Normal 6 7" xfId="6016" xr:uid="{CBDE25C1-4042-43A1-9EAB-5FC2C2FC0B50}"/>
    <cellStyle name="Normal 6 8" xfId="6058" xr:uid="{4888A1D0-420B-4E76-B6A3-6AA00D1AF470}"/>
    <cellStyle name="Normal 6 9" xfId="6066" xr:uid="{76D278F4-C3B6-468A-AEB8-902C0732CB6F}"/>
    <cellStyle name="Normal 60" xfId="1875" xr:uid="{6668BC43-6641-4832-8E1D-33F1DCCB1BEF}"/>
    <cellStyle name="Normal 60 2" xfId="1932" xr:uid="{B6CFA6B5-24E0-42CA-95E0-97CEE54737B7}"/>
    <cellStyle name="Normal 60 2 2" xfId="2961" xr:uid="{68915955-8904-4400-91E6-0B9E0EF938D0}"/>
    <cellStyle name="Normal 60 2 3" xfId="4422" xr:uid="{03C6C6C7-8699-4F17-A5BA-B66C86A6267F}"/>
    <cellStyle name="Normal 60 2 4" xfId="5240" xr:uid="{3223E193-A2A2-4FF9-8BC3-32582E4B3471}"/>
    <cellStyle name="Normal 60 2 5" xfId="5641" xr:uid="{9AD6A7B0-985B-41D3-8AAE-63E867254CD7}"/>
    <cellStyle name="Normal 60 3" xfId="2361" xr:uid="{5034ABAA-3EC4-492F-97D6-27AA5DC55D0B}"/>
    <cellStyle name="Normal 60 3 2" xfId="6521" xr:uid="{AE40CAE2-0B10-4D2C-8C21-B438BA8D6DC6}"/>
    <cellStyle name="Normal 60 3 3" xfId="5604" xr:uid="{17A06FA6-124C-4EE6-B635-10C3D384CAF5}"/>
    <cellStyle name="Normal 60 4" xfId="4382" xr:uid="{ACB95362-86B6-40D0-8A0E-4BBDA6F0074C}"/>
    <cellStyle name="Normal 60 5" xfId="5198" xr:uid="{267E46B5-EF0D-4AD1-8711-B0FF3B631E1C}"/>
    <cellStyle name="Normal 61" xfId="1882" xr:uid="{E99DD03B-B7D2-4762-B909-2739C8D6DA5B}"/>
    <cellStyle name="Normal 61 2" xfId="2966" xr:uid="{5C57F5A4-FAC5-4F10-9582-83AEDA9B83FA}"/>
    <cellStyle name="Normal 61 2 2" xfId="5724" xr:uid="{10ADE91C-2246-46E9-B168-28E5A3B39975}"/>
    <cellStyle name="Normal 61 3" xfId="2560" xr:uid="{0AE1EF97-1640-49BC-A883-D9F2DF8C0FD0}"/>
    <cellStyle name="Normal 61 3 2" xfId="6523" xr:uid="{0FFEE0B9-0372-4AAF-864D-2A13FFCC9077}"/>
    <cellStyle name="Normal 61 3 3" xfId="5605" xr:uid="{0C870B7B-F7AB-400D-AB1F-8FC9DD65DFD6}"/>
    <cellStyle name="Normal 61 4" xfId="4387" xr:uid="{6EBC118A-4774-4575-A2D6-CCAF404FC02E}"/>
    <cellStyle name="Normal 61 5" xfId="5203" xr:uid="{64C1768D-5AEC-4C00-BC81-1C815A8B733A}"/>
    <cellStyle name="Normal 62" xfId="1884" xr:uid="{6B34507C-C7CE-47CE-B058-7D7EE8DBA91B}"/>
    <cellStyle name="Normal 62 2" xfId="1940" xr:uid="{38C4E93E-1BB1-42D0-AFBA-E8A78B73D59A}"/>
    <cellStyle name="Normal 62 2 2" xfId="5725" xr:uid="{9D0B1F04-E472-4E28-91F4-0679F140AFF6}"/>
    <cellStyle name="Normal 62 3" xfId="2360" xr:uid="{6E7D9124-A7D3-4759-AD30-33B32B3A4793}"/>
    <cellStyle name="Normal 62 3 2" xfId="5606" xr:uid="{B15F0AFA-821A-48D9-B037-87CB280619D6}"/>
    <cellStyle name="Normal 63" xfId="1885" xr:uid="{62B18C62-4D2A-4F12-8D2A-ADC33D6730F9}"/>
    <cellStyle name="Normal 64" xfId="1891" xr:uid="{F820A91F-9553-47EC-92CD-EF3392D65074}"/>
    <cellStyle name="Normal 65" xfId="1887" xr:uid="{5D11B24E-EDB4-4040-9BC5-9A201EAB2956}"/>
    <cellStyle name="Normal 66" xfId="1886" xr:uid="{CC08DEBF-E564-4E71-BB15-5F37BD677C1B}"/>
    <cellStyle name="Normal 67" xfId="1890" xr:uid="{0502F8CB-DF38-407C-A4B1-D6C048F6577F}"/>
    <cellStyle name="Normal 68" xfId="1907" xr:uid="{C16F9F70-DDCF-416F-BD97-B251271381E6}"/>
    <cellStyle name="Normal 69" xfId="1910" xr:uid="{547E040A-AF1F-44E2-B35E-72EFEC5FDD49}"/>
    <cellStyle name="Normal 7" xfId="32" xr:uid="{D4B1673F-E80F-4A59-806B-505A54A5738B}"/>
    <cellStyle name="Normal 7 2" xfId="137" xr:uid="{A73C7462-ACD5-422D-BC2B-D8555DC6459F}"/>
    <cellStyle name="Normal 7 2 2" xfId="393" xr:uid="{99C59AEC-4523-4F5C-8D9F-C4089265B057}"/>
    <cellStyle name="Normal 7 2 2 2" xfId="4898" xr:uid="{3B1E3C5C-711E-41C5-811D-74B37B488585}"/>
    <cellStyle name="Normal 7 2 2 3" xfId="2632" xr:uid="{7CA922DB-11FC-4F01-A54D-30F248D32B4A}"/>
    <cellStyle name="Normal 7 2 3" xfId="2318" xr:uid="{8BA128B1-64C6-4455-BD4C-47E3669D5A82}"/>
    <cellStyle name="Normal 7 2 3 2" xfId="4020" xr:uid="{9A508DC2-0BD1-487D-A7E2-24300093F867}"/>
    <cellStyle name="Normal 7 2 4" xfId="3702" xr:uid="{AE0B770B-5E1F-44F6-97DB-F8306AF89596}"/>
    <cellStyle name="Normal 7 2 5" xfId="1087" xr:uid="{27DE32B1-DA53-4076-B6C7-F68A98CBA0E9}"/>
    <cellStyle name="Normal 7 3" xfId="461" xr:uid="{84A216FD-83C0-49ED-944E-8D61296E9F11}"/>
    <cellStyle name="Normal 7 3 2" xfId="5437" xr:uid="{1209A280-F977-47FE-A167-2ED5BFB0B1B7}"/>
    <cellStyle name="Normal 7 3 3" xfId="3703" xr:uid="{B95AD3BD-65DB-4952-9858-B24F7DA732D4}"/>
    <cellStyle name="Normal 7 4" xfId="609" xr:uid="{73DA2F18-A95F-4264-BEA7-F20496015BC8}"/>
    <cellStyle name="Normal 7 4 2" xfId="5627" xr:uid="{4FC432FB-FF2A-4773-8FF3-060FDF104D83}"/>
    <cellStyle name="Normal 7 4 3" xfId="3704" xr:uid="{5D56BBAC-62CD-491E-B1CF-E7DBDBEDCF04}"/>
    <cellStyle name="Normal 7 5" xfId="392" xr:uid="{B5E927CB-4BD9-44AF-BDC5-62B9B4647E76}"/>
    <cellStyle name="Normal 7 5 2" xfId="6017" xr:uid="{D5DFA9AE-FF22-4288-B30E-9C3683544293}"/>
    <cellStyle name="Normal 7 5 3" xfId="3705" xr:uid="{D16FAD25-96AF-4976-B175-C7F488BC1ED9}"/>
    <cellStyle name="Normal 7 6" xfId="3701" xr:uid="{CD61B6EA-5DD9-45D2-AFE9-4DCCE7DA9364}"/>
    <cellStyle name="Normal 7 7" xfId="844" xr:uid="{823A0623-0DFF-434E-821D-E3D0FB8020A6}"/>
    <cellStyle name="Normal 70" xfId="1921" xr:uid="{7C96F537-B61C-4A02-9A7A-870203FA8071}"/>
    <cellStyle name="Normal 71" xfId="1922" xr:uid="{E659CE6C-D590-4B3E-ABF1-2CA497E0EEA9}"/>
    <cellStyle name="Normal 71 2" xfId="2997" xr:uid="{324195A2-AFBD-4BFE-8D6B-D2FAB9EAEA4E}"/>
    <cellStyle name="Normal 71 2 2" xfId="5726" xr:uid="{5AD06FE7-E15A-4BC6-BF76-2A4108D03B93}"/>
    <cellStyle name="Normal 71 3" xfId="4413" xr:uid="{89A1358F-D7D4-49B3-9F6D-1744D404F8E9}"/>
    <cellStyle name="Normal 71 3 2" xfId="6549" xr:uid="{9D3B7274-4BDE-4CDF-8BDB-371B66DA05BF}"/>
    <cellStyle name="Normal 71 4" xfId="5234" xr:uid="{BDCA7F18-50AD-455C-A5FC-619C9C6E9421}"/>
    <cellStyle name="Normal 71 5" xfId="5446" xr:uid="{40AFC15F-51AE-4759-B473-A6F829FECF8D}"/>
    <cellStyle name="Normal 72" xfId="1937" xr:uid="{26A464CD-702E-4443-97AA-D451A8B7A230}"/>
    <cellStyle name="Normal 72 2" xfId="3005" xr:uid="{89089B74-CED8-4A04-9282-12D1A7010574}"/>
    <cellStyle name="Normal 72 2 2" xfId="6996" xr:uid="{A1F4235E-A771-4E8B-9605-3FD7BC365C42}"/>
    <cellStyle name="Normal 72 3" xfId="5245" xr:uid="{8CEE0C0A-48B4-4EA2-B48A-D3884EA4EC8E}"/>
    <cellStyle name="Normal 72 4" xfId="6007" xr:uid="{CA048F2C-23F4-43B8-A5CF-A1CA761E93C6}"/>
    <cellStyle name="Normal 73" xfId="1939" xr:uid="{C21B880C-FEDE-45A4-83C3-801695E4A81A}"/>
    <cellStyle name="Normal 73 2" xfId="3012" xr:uid="{9FB0BAF1-546F-487F-AA61-D4FC5F79B2FC}"/>
    <cellStyle name="Normal 73 3" xfId="4970" xr:uid="{C1A45046-9A0A-43D2-B025-BA4F6D22A14C}"/>
    <cellStyle name="Normal 74" xfId="1946" xr:uid="{F0D751CF-D923-4764-9DA0-03D32A59A8C5}"/>
    <cellStyle name="Normal 74 2" xfId="4972" xr:uid="{D7F49E6B-AE28-4805-8D3A-BC8F308B0520}"/>
    <cellStyle name="Normal 75" xfId="2020" xr:uid="{BC01A574-BD2D-4A97-9D06-7CFA6F6348AD}"/>
    <cellStyle name="Normal 76" xfId="2014" xr:uid="{63C875E1-ED61-4A20-992D-3DF9E6863CEA}"/>
    <cellStyle name="Normal 77" xfId="3010" xr:uid="{E4C87C7B-3D39-4EE4-A084-430EBCA2D4B3}"/>
    <cellStyle name="Normal 77 2" xfId="6551" xr:uid="{9529D75E-9854-4D71-AFCE-3DE9D3B1385C}"/>
    <cellStyle name="Normal 78" xfId="3013" xr:uid="{246E56EC-FC0B-475E-9570-D56F07897149}"/>
    <cellStyle name="Normal 78 2" xfId="5418" xr:uid="{96D7C962-F5B0-40FD-83A1-03BEA627CCA8}"/>
    <cellStyle name="Normal 79" xfId="3014" xr:uid="{4DBFA2B7-07B4-42A6-A11C-9B38F202589D}"/>
    <cellStyle name="Normal 79 2" xfId="6343" xr:uid="{94965FB6-4A0A-4E8C-A55C-AFF3E4BB02E1}"/>
    <cellStyle name="Normal 8" xfId="27" xr:uid="{87E0D49A-3E54-476D-AA85-FA2EBF1F9EBC}"/>
    <cellStyle name="Normal 8 2" xfId="138" xr:uid="{1796BFBB-A126-42FB-BBDB-70AD64797B4B}"/>
    <cellStyle name="Normal 8 2 2" xfId="395" xr:uid="{EEC8BDAD-3B0F-42D0-9100-2F5F78EFEE55}"/>
    <cellStyle name="Normal 8 2 2 2" xfId="4899" xr:uid="{27D04D39-DB6E-459A-A9C6-C779ED760C01}"/>
    <cellStyle name="Normal 8 2 3" xfId="4021" xr:uid="{4637620C-580F-4398-8CDC-FDBFF36ABE75}"/>
    <cellStyle name="Normal 8 2 4" xfId="3707" xr:uid="{6F666CD6-AD13-4E2B-B22A-FDB97C1F127C}"/>
    <cellStyle name="Normal 8 2 5" xfId="1088" xr:uid="{87AA2D0B-EE5F-4559-9444-5CA09CFD2926}"/>
    <cellStyle name="Normal 8 2 6" xfId="7016" xr:uid="{9C07FF46-43E1-4F14-914A-3F03C181216A}"/>
    <cellStyle name="Normal 8 3" xfId="466" xr:uid="{F0EEDE34-E38D-48DA-A619-0F51FCB77260}"/>
    <cellStyle name="Normal 8 3 2" xfId="3708" xr:uid="{33BE0D3E-8D94-411C-BFF4-85B83300C679}"/>
    <cellStyle name="Normal 8 3 8" xfId="7060" xr:uid="{315B5B8A-2841-4E49-8415-69F39811185C}"/>
    <cellStyle name="Normal 8 4" xfId="610" xr:uid="{66221121-9438-4B23-B5E1-7C9CEBA39FE0}"/>
    <cellStyle name="Normal 8 4 2" xfId="3709" xr:uid="{79E1B35D-BDB6-4560-AA68-3194FD4B4A4D}"/>
    <cellStyle name="Normal 8 5" xfId="394" xr:uid="{864679D1-1970-4249-957D-87A4A2FA554A}"/>
    <cellStyle name="Normal 8 5 2" xfId="3706" xr:uid="{131ADD5E-09FD-4AB1-B7A9-2F8D422288C9}"/>
    <cellStyle name="Normal 8 6" xfId="948" xr:uid="{E1E9A8CA-5F89-45AE-B0E5-DF49B9597761}"/>
    <cellStyle name="Normal 8 7" xfId="7167" xr:uid="{09C5EE0A-A112-47BE-8DF7-58E6B77EE388}"/>
    <cellStyle name="Normal 8 8" xfId="7261" xr:uid="{4A82F305-D691-4A90-81CA-E4A0CE014A74}"/>
    <cellStyle name="Normal 80" xfId="3018" xr:uid="{5B6E53F2-11B5-4D3D-81AE-8519B9BFD64E}"/>
    <cellStyle name="Normal 80 2" xfId="6065" xr:uid="{41199B1F-E6AA-44AC-B9D0-90BA99FCB0CB}"/>
    <cellStyle name="Normal 81" xfId="4975" xr:uid="{847DA4A6-6C14-4B2A-ADE8-57909E9E6761}"/>
    <cellStyle name="Normal 81 2" xfId="6104" xr:uid="{AD52752F-9A68-49AA-9832-28B6DF89D9F0}"/>
    <cellStyle name="Normal 82" xfId="4981" xr:uid="{B9CD6500-EA19-4E52-B1B5-5DB27DB47F60}"/>
    <cellStyle name="Normal 83" xfId="4987" xr:uid="{0EA2268C-4074-4656-82D9-B7E7A9D6D771}"/>
    <cellStyle name="Normal 84" xfId="4986" xr:uid="{9AFCEF2A-EA67-4292-A3CE-FD59C08C5110}"/>
    <cellStyle name="Normal 85" xfId="5001" xr:uid="{BA6A7CA1-69C8-4E69-B9EC-D56CD02D180B}"/>
    <cellStyle name="Normal 86" xfId="5247" xr:uid="{3350E50F-B504-4343-905A-82E7304414E8}"/>
    <cellStyle name="Normal 87" xfId="5252" xr:uid="{E8D69472-C224-40C4-8808-A3DEBA8CF4BD}"/>
    <cellStyle name="Normal 88" xfId="5248" xr:uid="{DBCC5EE1-2343-4C30-895C-347923DEDEBD}"/>
    <cellStyle name="Normal 89" xfId="5419" xr:uid="{0E81F3FA-B5CA-4C41-9AE1-71817B351EA0}"/>
    <cellStyle name="Normal 9" xfId="36" xr:uid="{81F43784-2461-4457-9668-D345BECCED79}"/>
    <cellStyle name="Normal 9 2" xfId="139" xr:uid="{CC1D7E65-6E53-482B-B4A3-844B1884108C}"/>
    <cellStyle name="Normal 9 2 2" xfId="397" xr:uid="{95758E76-29F4-4EDB-A882-548B11D3C1AE}"/>
    <cellStyle name="Normal 9 2 2 2" xfId="4900" xr:uid="{9A296F34-FA4E-49F2-A0BF-6CB81F9B61BC}"/>
    <cellStyle name="Normal 9 2 2 2 2 2 2" xfId="7206" xr:uid="{61076FB5-CAB9-4B93-831E-F3B53F499E5B}"/>
    <cellStyle name="Normal 9 2 2 2 2 2 2 2" xfId="7033" xr:uid="{A0C7958F-79DC-4379-A3D0-195F255AF21E}"/>
    <cellStyle name="Normal 9 2 3" xfId="4022" xr:uid="{2B25020E-93DB-402A-A108-D456E2333A80}"/>
    <cellStyle name="Normal 9 2 4" xfId="3711" xr:uid="{5F303418-CE51-4797-BD0A-D89F4A1644C3}"/>
    <cellStyle name="Normal 9 2 5" xfId="1089" xr:uid="{124AF985-91FD-4119-8636-0B965AAE68D6}"/>
    <cellStyle name="Normal 9 3" xfId="596" xr:uid="{3ADF4BD4-B8F4-4211-839B-122BA61AB990}"/>
    <cellStyle name="Normal 9 3 2" xfId="6006" xr:uid="{AA562840-2B8B-4FEB-B49E-AFB15378342A}"/>
    <cellStyle name="Normal 9 3 3" xfId="3712" xr:uid="{7C7824E1-C23B-487F-B294-F40C235A2A39}"/>
    <cellStyle name="Normal 9 4" xfId="396" xr:uid="{EB040C23-647E-45EF-9EED-1C2CC7F02694}"/>
    <cellStyle name="Normal 9 4 2" xfId="3710" xr:uid="{FDDE6EB8-C940-499F-8103-2CD90BAB50F4}"/>
    <cellStyle name="Normal 9 5" xfId="4999" xr:uid="{BE2F93F7-47B7-4859-B7AD-642202063C2F}"/>
    <cellStyle name="Normal 9 6" xfId="932" xr:uid="{80F7051E-74FB-4B48-9AA2-69B0CF6FBA04}"/>
    <cellStyle name="Normal 9 7" xfId="7201" xr:uid="{C29B2574-6572-4656-8EA7-9169D3B64E93}"/>
    <cellStyle name="Normal 90" xfId="5421" xr:uid="{4921DF66-0A4D-428F-BC68-DC4AD20F753D}"/>
    <cellStyle name="Normal 91" xfId="725" xr:uid="{A9DB9159-8EC7-4059-8E8C-DABDDD2E753F}"/>
    <cellStyle name="Normal 92" xfId="1000" xr:uid="{44E1849F-8880-4C25-B266-E328BC3C74BD}"/>
    <cellStyle name="Normal 93" xfId="5440" xr:uid="{62CC438D-7C3C-42F2-89D5-5BBCA3708742}"/>
    <cellStyle name="Normal 94" xfId="5465" xr:uid="{A668EB90-607F-48A1-B5AB-4402B57349EA}"/>
    <cellStyle name="Normal 95" xfId="7001" xr:uid="{EF8F4A99-CA7F-4E09-923C-62D1C7DA60A5}"/>
    <cellStyle name="Normal 96" xfId="5645" xr:uid="{8F4E739A-9CE3-4036-BCE4-B33E2EFE3350}"/>
    <cellStyle name="Normal 97" xfId="5444" xr:uid="{AFE89EBC-1C68-4713-8DF5-F7BC552ADA83}"/>
    <cellStyle name="Normal 98" xfId="695" xr:uid="{994D3286-E599-4408-8091-8F03608041A4}"/>
    <cellStyle name="Normal 99" xfId="710" xr:uid="{405A9685-B157-4B17-B098-87BC706BF833}"/>
    <cellStyle name="Normal0" xfId="1952" xr:uid="{F3FEAE9E-3914-4FD4-A414-E92200E5DCB6}"/>
    <cellStyle name="NormalGB" xfId="140" xr:uid="{B00F9390-DCF8-479D-A121-72CAD6927D87}"/>
    <cellStyle name="NormalGB 2" xfId="398" xr:uid="{0413CF18-A5A3-4DA3-BB54-066490D8E562}"/>
    <cellStyle name="NormalGB 2 2" xfId="574" xr:uid="{24B03AB3-A83A-4D3C-83BC-E3A52BF28B74}"/>
    <cellStyle name="NormalGB 3" xfId="462" xr:uid="{21D1AA8A-7EEA-4A44-9B0D-B8E55C196F57}"/>
    <cellStyle name="NormalGB 4" xfId="233" xr:uid="{85ADEEF6-032D-4BAD-817B-0B884F869DB3}"/>
    <cellStyle name="NormalGB_PL" xfId="608" xr:uid="{4CEEF475-CE1D-4B00-9919-CC106DEB21DE}"/>
    <cellStyle name="Note 10" xfId="5276" xr:uid="{E4683AEA-D528-4A3A-BBAE-66D58D329084}"/>
    <cellStyle name="Note 10 2" xfId="5337" xr:uid="{5C0CA09A-4C79-4833-A97E-14153A9695D7}"/>
    <cellStyle name="Note 10 2 2" xfId="5395" xr:uid="{A7C04891-E9A1-4365-8D60-77C48695DF5A}"/>
    <cellStyle name="Note 10 3" xfId="5365" xr:uid="{B95C5F6B-DC57-4650-9700-556009CC89BD}"/>
    <cellStyle name="Note 11" xfId="5277" xr:uid="{65B60428-7928-4E37-ADE5-A9FC29B764A6}"/>
    <cellStyle name="Note 11 2" xfId="5338" xr:uid="{D4E44CAD-2584-4906-AE4F-AA1234EB3FD7}"/>
    <cellStyle name="Note 11 2 2" xfId="5396" xr:uid="{057E57C0-381D-4AAE-94CA-D2DF7B156BB2}"/>
    <cellStyle name="Note 11 3" xfId="5366" xr:uid="{8F33410A-512F-428E-A2E0-548D8AFB950E}"/>
    <cellStyle name="Note 2" xfId="141" xr:uid="{5BF56274-ABE3-48F4-A04D-A2F8D1343C63}"/>
    <cellStyle name="Note 2 2" xfId="575" xr:uid="{1A825EE6-DEDF-488D-8233-34E9DA4F36C1}"/>
    <cellStyle name="Note 2 2 2" xfId="5397" xr:uid="{54910507-529A-4286-8109-B82F219CC98D}"/>
    <cellStyle name="Note 2 2 3" xfId="5339" xr:uid="{3F16F427-6F85-45DB-A39D-025DC7A08543}"/>
    <cellStyle name="Note 2 2 4" xfId="6059" xr:uid="{61A93595-1BD0-45E4-B533-F77C2ACF4243}"/>
    <cellStyle name="Note 2 2 5" xfId="4901" xr:uid="{B63FB3F3-3C20-45A1-8942-49CEC251675A}"/>
    <cellStyle name="Note 2 3" xfId="475" xr:uid="{0B572CF9-D57E-4461-97B1-EA9F0BCB20E7}"/>
    <cellStyle name="Note 2 3 2" xfId="5367" xr:uid="{9BC10283-A70E-4199-81F1-FC2162F93D3B}"/>
    <cellStyle name="Note 2 3 3" xfId="3980" xr:uid="{3F4EE318-16AC-4778-9D17-5A9BC0A13E42}"/>
    <cellStyle name="Note 2 4" xfId="3713" xr:uid="{86DBC9BE-4FA9-4868-AB08-E664E2AF2F27}"/>
    <cellStyle name="Note 2 5" xfId="5278" xr:uid="{49CD9A15-FBED-4C40-929A-E4D4E730B937}"/>
    <cellStyle name="Note 2 6" xfId="781" xr:uid="{77714CA5-FC13-4F08-9086-6B85166FACA3}"/>
    <cellStyle name="Note 2 7" xfId="7311" xr:uid="{5A5536EF-C1A7-41B2-9EAD-1FD68191CD86}"/>
    <cellStyle name="Note 3" xfId="1354" xr:uid="{760546AF-B3E9-4733-9F2F-C038E355795E}"/>
    <cellStyle name="Note 3 2" xfId="4902" xr:uid="{FA919F40-FB67-4B4C-8420-FE386A4E7F09}"/>
    <cellStyle name="Note 3 2 2" xfId="5398" xr:uid="{47EB2290-8A1A-4415-9FBE-D6CA82545561}"/>
    <cellStyle name="Note 3 2 3" xfId="5340" xr:uid="{BF7969A3-2E0B-4DC2-8FC1-BF4BEF996B50}"/>
    <cellStyle name="Note 3 3" xfId="4126" xr:uid="{F5BE0B78-D005-421E-B95B-C4A50579848C}"/>
    <cellStyle name="Note 3 3 2" xfId="5368" xr:uid="{47FE4F63-A84E-4F65-82E0-CED0C413D206}"/>
    <cellStyle name="Note 3 4" xfId="3714" xr:uid="{0D72BD0D-16A6-4FC5-BEE0-D35266AB7EEE}"/>
    <cellStyle name="Note 3 5" xfId="5279" xr:uid="{194671B2-3551-4902-A6CC-8B5C1A251389}"/>
    <cellStyle name="Note 4" xfId="3715" xr:uid="{18055FB3-33F1-4AF0-A9B1-7054B0F68B28}"/>
    <cellStyle name="Note 4 2" xfId="5341" xr:uid="{68111D78-3729-46C5-97D2-EA73FFF6ADE3}"/>
    <cellStyle name="Note 4 2 2" xfId="5399" xr:uid="{FB657CEF-EB6F-4421-9845-9A500D89A3B8}"/>
    <cellStyle name="Note 4 3" xfId="5369" xr:uid="{9003B5B9-8FF6-4104-969C-7749A3240D5E}"/>
    <cellStyle name="Note 4 4" xfId="5280" xr:uid="{A11004FA-7D9C-471C-AF55-DD2190D61A94}"/>
    <cellStyle name="Note 5" xfId="5281" xr:uid="{95094B72-6CCD-418E-BE01-E0FD3BE5E819}"/>
    <cellStyle name="Note 5 2" xfId="5342" xr:uid="{394C18A3-40FC-438A-AAF2-2F4BE367961D}"/>
    <cellStyle name="Note 5 2 2" xfId="5400" xr:uid="{EB4EAFBC-3922-45B7-94BF-B1A260A95856}"/>
    <cellStyle name="Note 5 3" xfId="5370" xr:uid="{40E343CB-6901-4439-A312-50811DF84BEA}"/>
    <cellStyle name="Note 6" xfId="5282" xr:uid="{0E106C90-321E-49EE-B9C3-41AADB0ACD27}"/>
    <cellStyle name="Note 6 2" xfId="5343" xr:uid="{042E5647-8B99-46FC-8E05-43A31E5E62E7}"/>
    <cellStyle name="Note 6 2 2" xfId="5401" xr:uid="{8C0B7C16-3B87-4B05-8D83-4F48ECADE096}"/>
    <cellStyle name="Note 6 3" xfId="5371" xr:uid="{EE435D38-2EB3-4761-A256-D6938E70E281}"/>
    <cellStyle name="Note 7" xfId="5283" xr:uid="{7B5EEA9D-72E0-456C-A7F6-BFDA0BB2A1B6}"/>
    <cellStyle name="Note 7 2" xfId="5344" xr:uid="{E2056FFD-063B-4C2E-8752-3F92E2FCA249}"/>
    <cellStyle name="Note 7 2 2" xfId="5402" xr:uid="{607A26E0-FB06-4847-8B72-2586DE5D1B69}"/>
    <cellStyle name="Note 7 3" xfId="5372" xr:uid="{2EB172FA-83ED-4412-935E-E810B1DFABDC}"/>
    <cellStyle name="Note 8" xfId="5284" xr:uid="{D4C35458-A032-4880-8563-8583D1C7E735}"/>
    <cellStyle name="Note 8 2" xfId="5345" xr:uid="{296E86F2-D46B-41C3-B09E-360A0371DBE5}"/>
    <cellStyle name="Note 8 2 2" xfId="5403" xr:uid="{1012A501-138F-4918-91C1-7034F2FE2CD7}"/>
    <cellStyle name="Note 8 3" xfId="5373" xr:uid="{4E72DE6B-1EA3-4FC8-A112-D796457562B5}"/>
    <cellStyle name="Note 9" xfId="5285" xr:uid="{7362685C-D093-4351-AA85-92A060A12DFA}"/>
    <cellStyle name="Note 9 2" xfId="5346" xr:uid="{C333E1C3-C0D5-4277-AF7C-695D8B90FCE5}"/>
    <cellStyle name="Note 9 2 2" xfId="5404" xr:uid="{4DB1915D-58EB-46F8-AA11-3FB8B403837D}"/>
    <cellStyle name="Note 9 3" xfId="5374" xr:uid="{A02995E8-E575-41DB-9E00-1BE323F52840}"/>
    <cellStyle name="Oracle Background Cell Color" xfId="1625" xr:uid="{979DE2FD-2AA7-4005-B1E8-0C7F49ED0630}"/>
    <cellStyle name="Output 2" xfId="142" xr:uid="{E36AB975-D458-4801-8960-06A7B38A53AC}"/>
    <cellStyle name="Output 2 2" xfId="553" xr:uid="{F4AB6AC3-620D-47CD-95F9-2C4A43EA90BF}"/>
    <cellStyle name="Output 2 2 2" xfId="1355" xr:uid="{C0909D1F-69D7-410C-8559-A40BF237427A}"/>
    <cellStyle name="Output 2 3" xfId="4903" xr:uid="{59738B80-1088-4B5D-9392-F2C097F21FA9}"/>
    <cellStyle name="Output 2 3 2" xfId="6060" xr:uid="{AC37DAF6-9278-4CC5-A717-455521D3EE9F}"/>
    <cellStyle name="Output 2 4" xfId="3981" xr:uid="{7BFAC2CD-62E2-4E2D-A254-1D4454B88B44}"/>
    <cellStyle name="Output 2 5" xfId="3716" xr:uid="{BCEDBBE5-C783-4E5A-A240-572B473CEF1E}"/>
    <cellStyle name="Output 2 6" xfId="639" xr:uid="{74C66C99-F599-45E9-AA19-33BB07A84758}"/>
    <cellStyle name="Output 2 7" xfId="7125" xr:uid="{C86B235C-1D3A-492E-ACD0-49D5FA499FC6}"/>
    <cellStyle name="Output 3" xfId="481" xr:uid="{B358ABE7-2C82-45BF-A69C-1BA54AFAC9A9}"/>
    <cellStyle name="Output 3 2" xfId="4904" xr:uid="{40739453-E0B0-4E03-A35C-30AE79DC51E9}"/>
    <cellStyle name="Output 3 3" xfId="4127" xr:uid="{6B93E743-9681-4373-9790-49E0EC8E6623}"/>
    <cellStyle name="Output 3 4" xfId="3717" xr:uid="{F5230B96-8484-4D25-8F08-9EF4821EF710}"/>
    <cellStyle name="Output 3 5" xfId="1356" xr:uid="{CA164CEE-99F4-4A79-9D8C-049B1155B8C9}"/>
    <cellStyle name="Output 4" xfId="7040" xr:uid="{008FF64E-7A14-4102-99AD-F1CDDE2B5BB2}"/>
    <cellStyle name="Output Amounts" xfId="703" xr:uid="{A54A2883-38C6-4F36-8A1A-2A831E3B02E2}"/>
    <cellStyle name="Output Amounts 2" xfId="1421" xr:uid="{2AFB689F-6F3C-41F1-9B5F-B6FE58C6B1C7}"/>
    <cellStyle name="Output Column Headings" xfId="822" xr:uid="{6782A82F-D6A8-4B83-8CA3-56957B503D45}"/>
    <cellStyle name="Output Column Headings 2" xfId="1422" xr:uid="{974AB9AA-2CBE-436E-B8FF-7BA8CB9D71CC}"/>
    <cellStyle name="Output Line Items" xfId="219" xr:uid="{04BEB8B2-DECB-4EDE-86FA-9EDCCCC699C7}"/>
    <cellStyle name="Output Line Items 2" xfId="1423" xr:uid="{AC15BD80-EA57-4F18-BCD1-2BF08A5437C2}"/>
    <cellStyle name="Output Report Heading" xfId="848" xr:uid="{1953E102-0609-4FE9-B9F6-DBC5E36CDA52}"/>
    <cellStyle name="Output Report Heading 2" xfId="1424" xr:uid="{9DD9CDA8-1DF4-405F-B6B8-8152E2E8468C}"/>
    <cellStyle name="Output Report Title" xfId="677" xr:uid="{8E71F6A9-489C-47B9-9009-6A55DADBFC17}"/>
    <cellStyle name="Output Report Title 2" xfId="1425" xr:uid="{22E2C309-0C44-4F02-A28B-0860BD95FCBA}"/>
    <cellStyle name="OUTPUTERROR" xfId="631" xr:uid="{2B41B572-BFDA-42BB-86E1-F4682B991C81}"/>
    <cellStyle name="OUTPUTNORMAL" xfId="762" xr:uid="{C5F01EA9-222E-4DEE-9D75-8DAEB9973252}"/>
    <cellStyle name="P1" xfId="399" xr:uid="{E9A318DA-2AD7-4926-A02F-F888C85FB02C}"/>
    <cellStyle name="Page Number" xfId="143" xr:uid="{6CA4316E-FAD3-4ABA-97E4-3CE314753E4C}"/>
    <cellStyle name="Page Number 2" xfId="400" xr:uid="{A753439B-F298-407E-B32F-9AA7AB44B2B8}"/>
    <cellStyle name="Page Number 3" xfId="234" xr:uid="{65CFA97E-A976-4075-9768-F12D3661E690}"/>
    <cellStyle name="PageSubTitle" xfId="1951" xr:uid="{B5BAE61E-C93D-466E-829F-A915D0C1C22C}"/>
    <cellStyle name="PageTitle" xfId="1950" xr:uid="{1AA20ED4-0009-4D66-ADB0-4580E4478EF1}"/>
    <cellStyle name="paint" xfId="962" xr:uid="{B9A93AD6-241A-4BBA-AC3A-65E8894E4C86}"/>
    <cellStyle name="Pattern" xfId="911" xr:uid="{40DEB576-0417-493E-B1AD-C007F2BEF24A}"/>
    <cellStyle name="Percent %" xfId="657" xr:uid="{600178B3-0639-4BAA-A643-252498681E0D}"/>
    <cellStyle name="Percent (0)" xfId="885" xr:uid="{E606FB58-6AA6-4004-935E-8D958FF71918}"/>
    <cellStyle name="Percent (0) 2" xfId="3718" xr:uid="{E1C87299-8EC2-4C60-A745-58EC45EBEE4F}"/>
    <cellStyle name="Percent (0) 3" xfId="3719" xr:uid="{520F40FD-AB50-44D2-89C0-0D8DA633ED75}"/>
    <cellStyle name="Percent [0]" xfId="685" xr:uid="{93948682-E938-41B6-AFD3-C4FA0B8224F7}"/>
    <cellStyle name="Percent [0] 2" xfId="769" xr:uid="{34063BF5-24A1-46BC-8895-984909A1EE76}"/>
    <cellStyle name="Percent [0] 2 2" xfId="1090" xr:uid="{90EBE335-822D-442B-BE06-09CA3C992CB8}"/>
    <cellStyle name="Percent [0] 2 2 2" xfId="1360" xr:uid="{E40E592C-3A3F-46BF-8065-3E5C8BE3EFD5}"/>
    <cellStyle name="Percent [0] 2 3" xfId="1359" xr:uid="{DFC8AD53-0007-41B3-84D0-AFAA4C345DC1}"/>
    <cellStyle name="Percent [0] 3" xfId="1361" xr:uid="{6AAF10A4-3C3E-4390-8878-77F25FB05512}"/>
    <cellStyle name="Percent [00]" xfId="612" xr:uid="{41B58096-E744-4C1D-9FBE-49B641B88A80}"/>
    <cellStyle name="Percent [00] 2" xfId="925" xr:uid="{4E15B8F0-8655-403B-9618-8617C0D0882B}"/>
    <cellStyle name="Percent [00] 3" xfId="3720" xr:uid="{F375DDDD-8E92-449D-BBD9-84D47D76661D}"/>
    <cellStyle name="Percent [2]" xfId="144" xr:uid="{E0EBAE98-080A-48F5-930B-A69256CD9ADC}"/>
    <cellStyle name="Percent [2] 2" xfId="908" xr:uid="{750CC360-AE21-4B3F-931C-D141E174ADD0}"/>
    <cellStyle name="Percent [2] 3" xfId="3721" xr:uid="{EC7DA3B8-B954-4E6D-A2AD-C8092F82D0FB}"/>
    <cellStyle name="Percent 10" xfId="585" xr:uid="{D10B2B7C-09B8-4553-AAE6-51D90F595670}"/>
    <cellStyle name="Percent 10 2" xfId="1022" xr:uid="{150CBFC8-EA44-47A3-BED8-2EE66371A805}"/>
    <cellStyle name="Percent 10 2 2" xfId="4905" xr:uid="{92F9F567-2874-48D1-BB35-FDE6000B9FD8}"/>
    <cellStyle name="Percent 10 2 3" xfId="3993" xr:uid="{067FB8E8-7B89-4CE0-96D1-C800FCAAA068}"/>
    <cellStyle name="Percent 10 2 4" xfId="3722" xr:uid="{EA425448-D14D-41B9-A79E-352C357EBC7F}"/>
    <cellStyle name="Percent 10 3" xfId="840" xr:uid="{8CBF066B-72C6-44AC-85C9-7207E6A37E56}"/>
    <cellStyle name="Percent 11" xfId="602" xr:uid="{FF91F421-0F9E-4803-9A40-F9B86FCD47E5}"/>
    <cellStyle name="Percent 11 2" xfId="1091" xr:uid="{AC97BB91-DE82-464C-8D5A-3BFE007052CA}"/>
    <cellStyle name="Percent 11 2 2" xfId="4906" xr:uid="{A31A3ADF-BFE2-4A3C-B8A6-F03A055C1580}"/>
    <cellStyle name="Percent 11 2 3" xfId="4023" xr:uid="{81D1FB2F-EFA7-43CD-9511-C602481F6FF8}"/>
    <cellStyle name="Percent 11 2 4" xfId="3723" xr:uid="{C92FED15-A86E-494A-A5B1-3AD19AF0F3F3}"/>
    <cellStyle name="Percent 11 3" xfId="692" xr:uid="{D80F399E-57B8-4E25-BB59-C918E7539CF6}"/>
    <cellStyle name="Percent 12" xfId="606" xr:uid="{D42FDFAB-A2FD-4A20-8E76-3323DA722E0B}"/>
    <cellStyle name="Percent 12 2" xfId="1092" xr:uid="{D727E81A-B008-4A9D-B35D-402F236D2475}"/>
    <cellStyle name="Percent 12 3" xfId="872" xr:uid="{74F59C96-49F5-47F3-AE9F-18273E2D0018}"/>
    <cellStyle name="Percent 13" xfId="895" xr:uid="{F9EFD9E9-FA07-46F0-8709-DA99447B6493}"/>
    <cellStyle name="Percent 13 2" xfId="1093" xr:uid="{55DA8687-C568-47E0-B103-EBD200FBE7E1}"/>
    <cellStyle name="Percent 14" xfId="897" xr:uid="{A15006A0-24F3-4444-878A-169CA0926EE7}"/>
    <cellStyle name="Percent 14 2" xfId="1094" xr:uid="{653D8CB7-7344-491D-8A58-8C62780F1185}"/>
    <cellStyle name="Percent 15" xfId="632" xr:uid="{33EAA856-932D-4FCE-BA75-0C8CB86243A7}"/>
    <cellStyle name="Percent 15 2" xfId="1095" xr:uid="{25FACCFE-6331-4948-9572-9352620C9676}"/>
    <cellStyle name="Percent 16" xfId="774" xr:uid="{77D95EAB-192B-468B-852B-195DD963D1C2}"/>
    <cellStyle name="Percent 16 2" xfId="1096" xr:uid="{87A88A90-347C-40DA-9F9C-350B611E8120}"/>
    <cellStyle name="Percent 17" xfId="615" xr:uid="{416F0314-63CF-4AA8-8642-466D2B65E591}"/>
    <cellStyle name="Percent 17 2" xfId="1097" xr:uid="{6CE48060-0906-484B-B99F-7A59F9DFEDDC}"/>
    <cellStyle name="Percent 17 2 2" xfId="1668" xr:uid="{8817854D-A432-4242-9D71-408AC2FBC85D}"/>
    <cellStyle name="Percent 17 2 2 10" xfId="5075" xr:uid="{0B63EF22-2686-4EC5-A5E8-94F129426528}"/>
    <cellStyle name="Percent 17 2 2 2" xfId="1694" xr:uid="{0127BC4D-B810-4A67-B209-23AF0584F3A5}"/>
    <cellStyle name="Percent 17 2 2 2 2" xfId="2170" xr:uid="{284FCC95-C815-4354-9A9D-D107B8568565}"/>
    <cellStyle name="Percent 17 2 2 2 2 2" xfId="2297" xr:uid="{9031C424-9D26-4DA4-9FDF-718DA3E5C942}"/>
    <cellStyle name="Percent 17 2 2 2 2 2 2" xfId="2526" xr:uid="{616673A0-98CD-4E70-BE6E-C9B393EDF705}"/>
    <cellStyle name="Percent 17 2 2 2 2 2 2 2" xfId="6801" xr:uid="{AA3FE1F4-2087-4D7B-B47A-68CFDDED315C}"/>
    <cellStyle name="Percent 17 2 2 2 2 2 3" xfId="5807" xr:uid="{CE1FB542-56C1-4A04-B58E-3554C554692E}"/>
    <cellStyle name="Percent 17 2 2 2 2 3" xfId="2431" xr:uid="{4DF9741C-85F3-4FA7-A35C-D384C03ABBB4}"/>
    <cellStyle name="Percent 17 2 2 2 2 3 2" xfId="6262" xr:uid="{93940E22-05D1-485C-B9E9-ED0301499A55}"/>
    <cellStyle name="Percent 17 2 2 2 2 4" xfId="5479" xr:uid="{13F3FBBC-E1B3-4D18-9D94-5605246739FB}"/>
    <cellStyle name="Percent 17 2 2 2 3" xfId="2277" xr:uid="{BC277476-31CA-4217-8843-B0A93BAB3966}"/>
    <cellStyle name="Percent 17 2 2 2 3 2" xfId="2506" xr:uid="{B0BF13B1-18B8-4A73-9F70-A3690F7668AE}"/>
    <cellStyle name="Percent 17 2 2 2 3 2 2" xfId="6975" xr:uid="{61F23183-D739-4A75-877C-618155B373C2}"/>
    <cellStyle name="Percent 17 2 2 2 3 2 3" xfId="5975" xr:uid="{02C1475A-CA41-46CA-8BD1-D7E01A2F7FB2}"/>
    <cellStyle name="Percent 17 2 2 2 3 3" xfId="6639" xr:uid="{F882D7EF-943A-4EA7-BA6B-6D5184D3107B}"/>
    <cellStyle name="Percent 17 2 2 2 3 4" xfId="5714" xr:uid="{5896EFD6-8718-425B-A9A9-87238FD7031B}"/>
    <cellStyle name="Percent 17 2 2 2 4" xfId="2411" xr:uid="{380EF232-FB35-4AAE-A337-89CDA24350DA}"/>
    <cellStyle name="Percent 17 2 2 2 4 2" xfId="5895" xr:uid="{1F962D3C-4509-4379-BA67-62D17FF66507}"/>
    <cellStyle name="Percent 17 2 2 2 4 2 2" xfId="6919" xr:uid="{872E0E23-E64C-41F6-AC09-517AEBEFAC60}"/>
    <cellStyle name="Percent 17 2 2 2 4 3" xfId="6434" xr:uid="{7A963F90-3DE5-4D6A-B80B-3268022EE1A0}"/>
    <cellStyle name="Percent 17 2 2 2 4 4" xfId="5573" xr:uid="{71C2549E-90F1-4530-8C32-BF725EB002C8}"/>
    <cellStyle name="Percent 17 2 2 2 5" xfId="2831" xr:uid="{6DE60B10-E094-46F0-9452-B5D78DC66836}"/>
    <cellStyle name="Percent 17 2 2 2 5 2" xfId="6133" xr:uid="{A81C83E1-A8BC-458A-BC34-C38E8A66D9A3}"/>
    <cellStyle name="Percent 17 2 2 2 6" xfId="2145" xr:uid="{85E6F3F9-B35D-4B49-AC3B-1466ED297888}"/>
    <cellStyle name="Percent 17 2 2 2 7" xfId="4278" xr:uid="{3B39FFED-34E9-4BCA-947A-76224B95E08C}"/>
    <cellStyle name="Percent 17 2 2 2 8" xfId="5101" xr:uid="{6CEAD6CA-B671-43B7-91CB-15BD5A51BB84}"/>
    <cellStyle name="Percent 17 2 2 3" xfId="2148" xr:uid="{4081FCED-8BA6-4FA4-AF0D-C2EDB30502E4}"/>
    <cellStyle name="Percent 17 2 2 3 2" xfId="2279" xr:uid="{A902B6B9-524E-4C00-B26F-A11B0FBC4C85}"/>
    <cellStyle name="Percent 17 2 2 3 2 2" xfId="2508" xr:uid="{D8D1D90D-1CA7-43B6-8ADB-34B10880FE71}"/>
    <cellStyle name="Percent 17 2 2 3 2 2 2" xfId="6775" xr:uid="{E10162D8-FC48-43D4-BAD6-72487DA18641}"/>
    <cellStyle name="Percent 17 2 2 3 2 3" xfId="5781" xr:uid="{89E8C470-4108-4B5E-B1EA-9AE3208783E8}"/>
    <cellStyle name="Percent 17 2 2 3 3" xfId="2413" xr:uid="{730FED2F-C1CB-408C-B200-BE5A62117B7B}"/>
    <cellStyle name="Percent 17 2 2 3 3 2" xfId="6236" xr:uid="{6B6A3404-AD33-47E0-9596-524F683545C4}"/>
    <cellStyle name="Percent 17 2 2 3 4" xfId="5471" xr:uid="{80D3AAB3-1145-4104-8B83-2F8B74EE3D78}"/>
    <cellStyle name="Percent 17 2 2 4" xfId="2163" xr:uid="{77D13589-A6C0-48E1-BC72-A4575776DD4C}"/>
    <cellStyle name="Percent 17 2 2 4 2" xfId="2290" xr:uid="{438ED3A3-F3B0-4C7F-90CB-D16247D3D599}"/>
    <cellStyle name="Percent 17 2 2 4 2 2" xfId="2519" xr:uid="{08D0C4C0-871D-4DE6-A3C7-E365C669D2F5}"/>
    <cellStyle name="Percent 17 2 2 4 2 2 2" xfId="6967" xr:uid="{337A3BA8-929A-4463-99D6-BC7EE0C961BF}"/>
    <cellStyle name="Percent 17 2 2 4 2 3" xfId="5967" xr:uid="{CAAF5B80-4A01-4F55-9D0B-0E1680647A5F}"/>
    <cellStyle name="Percent 17 2 2 4 3" xfId="2424" xr:uid="{B864C694-8DB3-4FF6-B88A-418598AA44BF}"/>
    <cellStyle name="Percent 17 2 2 4 3 2" xfId="6614" xr:uid="{79D277BD-E3F0-4CE0-A3D0-CA789C44126E}"/>
    <cellStyle name="Percent 17 2 2 4 4" xfId="5710" xr:uid="{D6109BB8-78D1-401E-9C46-A6BCB2EE0923}"/>
    <cellStyle name="Percent 17 2 2 5" xfId="2270" xr:uid="{5B5B5382-A39B-4881-B33A-629A820FA9A5}"/>
    <cellStyle name="Percent 17 2 2 5 2" xfId="2499" xr:uid="{F7979156-311F-4AB5-8408-F7C138F67D0D}"/>
    <cellStyle name="Percent 17 2 2 5 2 2" xfId="6911" xr:uid="{5D0D29AF-14DB-404C-ABC2-DBC5E1B6B0BE}"/>
    <cellStyle name="Percent 17 2 2 5 2 3" xfId="5887" xr:uid="{251A1D5F-56DB-49A9-9BA6-6F064F24D0D4}"/>
    <cellStyle name="Percent 17 2 2 5 3" xfId="6408" xr:uid="{C728D5DC-FBD4-4803-B366-45F8FAB1E42F}"/>
    <cellStyle name="Percent 17 2 2 5 4" xfId="5567" xr:uid="{1A69DD14-011F-44B5-AD65-9014FDE140D7}"/>
    <cellStyle name="Percent 17 2 2 6" xfId="2403" xr:uid="{EAA37019-C334-483D-BBB5-1954891F07DA}"/>
    <cellStyle name="Percent 17 2 2 6 2" xfId="6112" xr:uid="{D81166E9-2046-4224-996B-A259C37BA4F7}"/>
    <cellStyle name="Percent 17 2 2 7" xfId="2805" xr:uid="{A791BB69-8ADE-4D61-A0FF-9B706423EC2E}"/>
    <cellStyle name="Percent 17 2 2 8" xfId="2135" xr:uid="{76E4DAFA-8141-49D7-8DAC-D44C7DB17FDD}"/>
    <cellStyle name="Percent 17 2 2 9" xfId="4252" xr:uid="{BC59B380-0262-4457-B265-62AE4A43CDB4}"/>
    <cellStyle name="Percent 17 2 3" xfId="1652" xr:uid="{A138E68F-DFFB-40EB-82C8-EFC0B8C4DDF1}"/>
    <cellStyle name="Percent 17 2 3 2" xfId="2542" xr:uid="{A4AB576A-99A5-471F-BE17-36F711D8FA0C}"/>
    <cellStyle name="Percent 17 2 3 2 2" xfId="5771" xr:uid="{FD15C848-D59E-45EF-9F18-8257B8F6CF40}"/>
    <cellStyle name="Percent 17 2 3 2 2 2" xfId="6765" xr:uid="{1211B284-FA26-4428-9D14-A77B23174CA8}"/>
    <cellStyle name="Percent 17 2 3 2 3" xfId="6226" xr:uid="{3283F719-9961-4E9C-85BB-2D6F0038A480}"/>
    <cellStyle name="Percent 17 2 3 3" xfId="2795" xr:uid="{F38DDA6A-C33A-41B2-A686-FD8A826D1814}"/>
    <cellStyle name="Percent 17 2 3 3 2" xfId="5964" xr:uid="{185122F1-37EE-4CB5-86CC-3FD0BAC344C2}"/>
    <cellStyle name="Percent 17 2 3 3 2 2" xfId="6963" xr:uid="{2C5BB8B1-0C2F-44A4-A5F9-00FAA8D9B18E}"/>
    <cellStyle name="Percent 17 2 3 3 3" xfId="6605" xr:uid="{7D779A87-ABF7-426B-B91D-72C601D2A5EE}"/>
    <cellStyle name="Percent 17 2 3 4" xfId="2315" xr:uid="{19516006-BF43-4753-B793-13D409058042}"/>
    <cellStyle name="Percent 17 2 3 4 2" xfId="5883" xr:uid="{CF29EC2F-A3E9-4002-889A-BE6C0E443C3F}"/>
    <cellStyle name="Percent 17 2 3 4 2 2" xfId="6907" xr:uid="{77DBC04C-F586-4FB9-ABAB-65E05D30B6EE}"/>
    <cellStyle name="Percent 17 2 3 4 3" xfId="6398" xr:uid="{9A458692-A295-4545-8220-8F235810E06C}"/>
    <cellStyle name="Percent 17 2 3 4 4" xfId="5564" xr:uid="{C8F03CC5-027B-4541-8710-9DCA319AB461}"/>
    <cellStyle name="Percent 17 2 3 5" xfId="4242" xr:uid="{DD8F9096-CE81-4D2E-BE22-BAD57774E480}"/>
    <cellStyle name="Percent 17 2 3 5 2" xfId="6107" xr:uid="{7FBFF87E-9BDB-4C80-9C10-A39953105656}"/>
    <cellStyle name="Percent 17 2 3 6" xfId="5065" xr:uid="{51FF8EF9-9177-4C80-A77E-F4B47C96C407}"/>
    <cellStyle name="Percent 17 2 4" xfId="1684" xr:uid="{6D4F8FEF-3595-4428-A202-0F53B7FF3F92}"/>
    <cellStyle name="Percent 17 2 4 2" xfId="2821" xr:uid="{0767D258-8695-4553-B579-2FC451FB755A}"/>
    <cellStyle name="Percent 17 2 4 2 2" xfId="5797" xr:uid="{48DAF17B-84CE-4AB3-8577-32771810C0AA}"/>
    <cellStyle name="Percent 17 2 4 2 2 2" xfId="6791" xr:uid="{D5BC9436-F7A1-4427-A298-AF55E4415ACD}"/>
    <cellStyle name="Percent 17 2 4 2 3" xfId="6252" xr:uid="{E70813B6-579D-455F-A013-05CD8D791007}"/>
    <cellStyle name="Percent 17 2 4 2 4" xfId="5475" xr:uid="{8B1A80EF-5EC3-470B-9024-917D0BE830D5}"/>
    <cellStyle name="Percent 17 2 4 3" xfId="4268" xr:uid="{CDDF8FAD-F9E2-488A-8D02-63C6C0726059}"/>
    <cellStyle name="Percent 17 2 4 3 2" xfId="5971" xr:uid="{A0789874-78BF-47F0-8D51-F8EB4ECF7C56}"/>
    <cellStyle name="Percent 17 2 4 3 2 2" xfId="6971" xr:uid="{8613F16D-701A-4B14-A416-2DB4A4471AB5}"/>
    <cellStyle name="Percent 17 2 4 3 3" xfId="6629" xr:uid="{2FEDBC82-D4DE-4FC6-A3F9-B875060F020C}"/>
    <cellStyle name="Percent 17 2 4 4" xfId="5091" xr:uid="{266D5467-A0BF-47EE-8154-2C84E9C8D101}"/>
    <cellStyle name="Percent 17 2 4 4 2" xfId="5891" xr:uid="{422E915C-5C22-4FFF-9668-BDBC1909060A}"/>
    <cellStyle name="Percent 17 2 4 4 2 2" xfId="6915" xr:uid="{E3B5471B-E38A-4AE9-B7BD-ACA57923246A}"/>
    <cellStyle name="Percent 17 2 4 4 3" xfId="6424" xr:uid="{8FD62541-B8B2-43BA-BC12-DFF0041A04E0}"/>
    <cellStyle name="Percent 17 2 4 4 4" xfId="5570" xr:uid="{AF593765-96FF-4F9A-AE98-D6660979160F}"/>
    <cellStyle name="Percent 17 2 4 5" xfId="6124" xr:uid="{F24E7976-7FD5-44ED-B55D-8CCB9D846AFB}"/>
    <cellStyle name="Percent 17 2 5" xfId="1633" xr:uid="{8997ABA0-BE70-4C2A-B58E-AB156CB91115}"/>
    <cellStyle name="Percent 17 2 5 2" xfId="2780" xr:uid="{E4600976-ACAD-4C0A-BF20-24FC91364DA4}"/>
    <cellStyle name="Percent 17 2 5 2 2" xfId="5758" xr:uid="{2A6F1C18-F41B-48FB-B9D1-4493A8D38CA2}"/>
    <cellStyle name="Percent 17 2 5 2 2 2" xfId="6752" xr:uid="{1BFB9837-2D55-4512-9D71-AAC9446AFFE9}"/>
    <cellStyle name="Percent 17 2 5 2 3" xfId="6213" xr:uid="{DFEB69CD-505B-4576-A9F1-A3E467D8C545}"/>
    <cellStyle name="Percent 17 2 5 2 4" xfId="5464" xr:uid="{0184F422-CE52-4F02-AD47-F56DC68BB88A}"/>
    <cellStyle name="Percent 17 2 5 3" xfId="4225" xr:uid="{15C5CEF1-0041-4D4A-8903-A60F08DDB4DB}"/>
    <cellStyle name="Percent 17 2 5 3 2" xfId="5960" xr:uid="{9B675A11-BB4E-4DB0-9B8E-27534D76B919}"/>
    <cellStyle name="Percent 17 2 5 3 2 2" xfId="6960" xr:uid="{5A378576-44D3-4CAA-B744-A3A34934C5F9}"/>
    <cellStyle name="Percent 17 2 5 3 3" xfId="6592" xr:uid="{4539D4AD-06A3-494E-B39E-E895908FCA0B}"/>
    <cellStyle name="Percent 17 2 5 4" xfId="5052" xr:uid="{827EFC52-0F08-473A-BAA2-38F69B07AD4C}"/>
    <cellStyle name="Percent 17 2 5 4 2" xfId="5878" xr:uid="{F3E1B3D8-D785-4208-B51A-C29E20EED0C4}"/>
    <cellStyle name="Percent 17 2 5 4 2 2" xfId="6904" xr:uid="{C4D6D49A-7FFF-4D88-947E-2C383C5C3AF3}"/>
    <cellStyle name="Percent 17 2 5 4 3" xfId="6385" xr:uid="{A94EA2D7-F9CC-4BFA-8124-93437A289303}"/>
    <cellStyle name="Percent 17 2 5 4 4" xfId="5559" xr:uid="{228F8930-E34B-4786-B00F-AB8EFBB95D68}"/>
    <cellStyle name="Percent 17 2 5 5" xfId="6095" xr:uid="{1AAE5E36-7344-4908-97B1-6904AE9C66E4}"/>
    <cellStyle name="Percent 17 2 6" xfId="4992" xr:uid="{3DC9B2A0-6AB4-4528-ABD4-B71967326DCD}"/>
    <cellStyle name="Percent 18" xfId="793" xr:uid="{EA180CD9-FD7C-4DF4-8929-8C52C6C56655}"/>
    <cellStyle name="Percent 18 2" xfId="1752" xr:uid="{4B7DA3CC-5259-463F-89D7-E7BA387987C0}"/>
    <cellStyle name="Percent 18 3" xfId="1780" xr:uid="{A81421FD-A8F5-4942-A72C-C70D4B57ACDB}"/>
    <cellStyle name="Percent 18 3 2" xfId="1844" xr:uid="{8CF95C25-5FC5-447D-83E2-147C022ABA96}"/>
    <cellStyle name="Percent 18 3 2 2" xfId="2931" xr:uid="{52DA960D-15AE-4742-9DC1-809FB4B58A7C}"/>
    <cellStyle name="Percent 18 3 2 2 2" xfId="5837" xr:uid="{0CB1BF06-0C73-4F1D-AB7F-5B5B9B3B771E}"/>
    <cellStyle name="Percent 18 3 2 2 2 2" xfId="6866" xr:uid="{CC3AB89F-DE01-4D10-B8B2-76CA84414743}"/>
    <cellStyle name="Percent 18 3 2 2 3" xfId="6319" xr:uid="{E6432CF2-4C7A-4B39-B486-E6F6B7E1BB9A}"/>
    <cellStyle name="Percent 18 3 2 3" xfId="4356" xr:uid="{6623A40F-E079-473F-AC0E-280B14843CC5}"/>
    <cellStyle name="Percent 18 3 2 3 2" xfId="6676" xr:uid="{21B65A04-749C-4F6D-B44D-40F6B36F36A5}"/>
    <cellStyle name="Percent 18 3 2 4" xfId="5169" xr:uid="{FEC8856D-11A5-403D-8E95-BE8FB184E028}"/>
    <cellStyle name="Percent 18 3 2 4 2" xfId="6496" xr:uid="{D15C79D0-DE82-4ED9-BA17-4AC0734CD3EE}"/>
    <cellStyle name="Percent 18 3 2 5" xfId="6158" xr:uid="{A51EC7FB-A5E3-46DC-9492-BD9A7540B2E8}"/>
    <cellStyle name="Percent 18 3 3" xfId="2875" xr:uid="{F0E214B7-C161-4DA1-84C9-F1B6633984E7}"/>
    <cellStyle name="Percent 18 3 3 2" xfId="5817" xr:uid="{E176D016-221F-492D-8042-EC9D10CA0615}"/>
    <cellStyle name="Percent 18 3 3 2 2" xfId="6822" xr:uid="{78661560-7480-4632-8A2B-47B48D4DDE41}"/>
    <cellStyle name="Percent 18 3 3 3" xfId="6282" xr:uid="{9EAB3367-2D67-4507-A6ED-F84E9EB5E662}"/>
    <cellStyle name="Percent 18 3 4" xfId="4314" xr:uid="{031E97F9-36B4-459D-BDB6-E816D032020E}"/>
    <cellStyle name="Percent 18 3 4 2" xfId="6653" xr:uid="{27145813-C6F4-4399-9A70-917070E7E970}"/>
    <cellStyle name="Percent 18 3 5" xfId="5122" xr:uid="{C89D6D41-95B0-4B8B-BD51-562DA46D6947}"/>
    <cellStyle name="Percent 18 3 5 2" xfId="6455" xr:uid="{1DFF996F-B912-4F0D-B60C-AA0023B23AD5}"/>
    <cellStyle name="Percent 18 3 6" xfId="6144" xr:uid="{66904373-A0B6-4C8B-B834-BDE5A84F4B55}"/>
    <cellStyle name="Percent 18 4" xfId="1811" xr:uid="{56C9065D-78A3-400C-AB2C-3F1548E6F296}"/>
    <cellStyle name="Percent 18 4 2" xfId="1860" xr:uid="{BADD59A9-053D-48EC-B9F1-91BE63F382CE}"/>
    <cellStyle name="Percent 18 4 2 2" xfId="2947" xr:uid="{8C4AC6CA-2B29-4BF8-AC3D-CFBC966D03AA}"/>
    <cellStyle name="Percent 18 4 2 2 2" xfId="5844" xr:uid="{D8AAF2E3-E9B3-415D-9312-2FBAA31BB914}"/>
    <cellStyle name="Percent 18 4 2 2 2 2" xfId="6880" xr:uid="{A3DAA966-9B44-4518-B364-EC43C003A2A8}"/>
    <cellStyle name="Percent 18 4 2 2 3" xfId="6330" xr:uid="{31ACDF72-36F8-4387-AD67-8BD737475130}"/>
    <cellStyle name="Percent 18 4 2 3" xfId="4367" xr:uid="{829CC8FB-DA36-42E7-BD91-F043C37AA26D}"/>
    <cellStyle name="Percent 18 4 2 3 2" xfId="6683" xr:uid="{754416C3-0FEB-4824-BD79-EE85E95E2289}"/>
    <cellStyle name="Percent 18 4 2 4" xfId="5185" xr:uid="{8C07461D-A51F-415F-8AB8-66928A4B3C9D}"/>
    <cellStyle name="Percent 18 4 2 4 2" xfId="6508" xr:uid="{B9EB1F18-C38A-4FBD-B906-DE3A4D9BE76B}"/>
    <cellStyle name="Percent 18 4 2 5" xfId="6164" xr:uid="{F9BADBE9-266E-4505-9564-450F3F3B0096}"/>
    <cellStyle name="Percent 18 4 3" xfId="2899" xr:uid="{1C717747-B849-43C3-94AD-4CFDA66AD582}"/>
    <cellStyle name="Percent 18 4 3 2" xfId="5824" xr:uid="{96A04B8A-2CF1-4AAD-BA51-F102D81C9533}"/>
    <cellStyle name="Percent 18 4 3 2 2" xfId="6837" xr:uid="{CA67AF01-BCCA-4332-92FD-86B15279ACF8}"/>
    <cellStyle name="Percent 18 4 3 3" xfId="6294" xr:uid="{3A741568-6E38-4255-892B-6810C98BAB6A}"/>
    <cellStyle name="Percent 18 4 4" xfId="4331" xr:uid="{94A55FE4-4439-42F4-81A5-023F2B666EA9}"/>
    <cellStyle name="Percent 18 4 4 2" xfId="6662" xr:uid="{0A8B8C98-1137-46DD-9BE3-DE3D34FB5A1E}"/>
    <cellStyle name="Percent 18 4 5" xfId="5138" xr:uid="{BE8CADE1-B1EE-48DA-954B-EEE1415661C1}"/>
    <cellStyle name="Percent 18 4 5 2" xfId="6469" xr:uid="{4EC25C50-6B00-4097-80D8-B890DDE1872A}"/>
    <cellStyle name="Percent 18 4 6" xfId="6148" xr:uid="{A37EF11B-0503-4999-9D61-CEBDE9941CBE}"/>
    <cellStyle name="Percent 18 5" xfId="1828" xr:uid="{A818C8F2-13F1-491A-A937-F6A519179CBB}"/>
    <cellStyle name="Percent 18 5 2" xfId="2916" xr:uid="{FC60EB7B-2428-4A23-A8DA-A3DF67E30A06}"/>
    <cellStyle name="Percent 18 5 2 2" xfId="5831" xr:uid="{8B7B401F-56CF-4372-BAF0-0572D76282DB}"/>
    <cellStyle name="Percent 18 5 2 2 2" xfId="6852" xr:uid="{86D35276-A16A-453C-8E43-E35A1B442561}"/>
    <cellStyle name="Percent 18 5 2 3" xfId="6306" xr:uid="{01975B6B-BFC9-48AB-A4A7-143E79FEC93D}"/>
    <cellStyle name="Percent 18 5 3" xfId="4342" xr:uid="{7110B1F3-B20F-4367-A4B5-513F7A701AE5}"/>
    <cellStyle name="Percent 18 5 3 2" xfId="6667" xr:uid="{F38836F9-8F0A-4AB6-96D6-E17BB4D5610B}"/>
    <cellStyle name="Percent 18 5 4" xfId="5154" xr:uid="{2C507E32-193F-41E2-9E25-1771EDE00CB5}"/>
    <cellStyle name="Percent 18 5 4 2" xfId="6482" xr:uid="{18314910-8911-490D-AFAF-F2C3AE4B24F9}"/>
    <cellStyle name="Percent 18 5 5" xfId="6152" xr:uid="{E76EC4C6-F98F-4394-8DEC-BFD4FBE0DC70}"/>
    <cellStyle name="Percent 18 6" xfId="1717" xr:uid="{EF8C4D54-B249-4631-933E-8B4CB46C0328}"/>
    <cellStyle name="Percent 18 6 2" xfId="2842" xr:uid="{B164E07F-9E44-44FD-B49E-5F66C19459C6}"/>
    <cellStyle name="Percent 18 6 2 2" xfId="5811" xr:uid="{4FA334B6-0FFC-42D7-BA7B-51E43866609B}"/>
    <cellStyle name="Percent 18 6 2 2 2" xfId="6807" xr:uid="{51C8799E-2C03-424B-BBC1-2BF18A55BDCA}"/>
    <cellStyle name="Percent 18 6 2 3" xfId="6268" xr:uid="{318D37A9-F40A-4F56-9727-936AA4404B27}"/>
    <cellStyle name="Percent 18 6 3" xfId="4287" xr:uid="{22407940-54CB-43DA-AD6D-AA844434D7D1}"/>
    <cellStyle name="Percent 18 6 3 2" xfId="6643" xr:uid="{04266426-304A-4DE8-B6C3-BA794498164A}"/>
    <cellStyle name="Percent 18 6 4" xfId="5107" xr:uid="{9DC7EA93-49EE-4D17-A797-FCA9C3CC5465}"/>
    <cellStyle name="Percent 18 6 4 2" xfId="6440" xr:uid="{BE00DC80-BADF-464C-BF83-07AA912AE629}"/>
    <cellStyle name="Percent 18 6 5" xfId="6136" xr:uid="{CE84831E-DAFD-4260-816E-880C2789FC8C}"/>
    <cellStyle name="Percent 19" xfId="877" xr:uid="{652ABCB4-900F-42A6-B49B-5F95634BFC2E}"/>
    <cellStyle name="Percent 19 2" xfId="1098" xr:uid="{1062A832-E58E-40F7-B2B3-7048B9B0DCF8}"/>
    <cellStyle name="Percent 19 3" xfId="1781" xr:uid="{21AE98B3-4295-434B-A9F8-BB8327E99C9E}"/>
    <cellStyle name="Percent 19 3 2" xfId="1845" xr:uid="{D5099308-CD31-4C64-B8CB-3FBC5985ACAE}"/>
    <cellStyle name="Percent 19 3 2 2" xfId="2932" xr:uid="{01BDC4B7-51B8-4E87-8219-CC78C37C806B}"/>
    <cellStyle name="Percent 19 3 2 2 2" xfId="5838" xr:uid="{F05F8C38-1F04-4507-92F1-A9CA0F74905A}"/>
    <cellStyle name="Percent 19 3 2 2 2 2" xfId="6867" xr:uid="{B3E73563-7C63-46D8-90F9-9EA10E5F79F6}"/>
    <cellStyle name="Percent 19 3 2 2 3" xfId="6320" xr:uid="{342EB791-0530-4349-A972-D6ACCD1D640E}"/>
    <cellStyle name="Percent 19 3 2 3" xfId="4357" xr:uid="{C98942E5-90D3-444C-9250-F4F3FC3E05A9}"/>
    <cellStyle name="Percent 19 3 2 3 2" xfId="6677" xr:uid="{2F376744-0917-4212-BB8A-0EAB37659A80}"/>
    <cellStyle name="Percent 19 3 2 4" xfId="5170" xr:uid="{10941033-6A2A-4317-A5A2-A4F6F8C241EA}"/>
    <cellStyle name="Percent 19 3 2 4 2" xfId="6497" xr:uid="{5D256EB1-2CC5-4616-A0E1-BB5B90AAD87A}"/>
    <cellStyle name="Percent 19 3 2 5" xfId="6159" xr:uid="{CF71C989-B4B4-4D8B-802F-EE81C09FA17A}"/>
    <cellStyle name="Percent 19 3 3" xfId="2876" xr:uid="{C03AFE49-753B-4E16-A630-52FC8F43FB41}"/>
    <cellStyle name="Percent 19 3 3 2" xfId="5818" xr:uid="{B169AA66-243A-4CF7-BF46-76D4140B6842}"/>
    <cellStyle name="Percent 19 3 3 2 2" xfId="6823" xr:uid="{61B479FE-C9B6-4C5D-B5BC-B1DBD3630DCB}"/>
    <cellStyle name="Percent 19 3 3 3" xfId="6283" xr:uid="{18BE79EF-5F7F-47FA-B424-EA92C8FBAB66}"/>
    <cellStyle name="Percent 19 3 4" xfId="4315" xr:uid="{B499E4F8-5D8C-4323-BE9F-3B34AC14BAAF}"/>
    <cellStyle name="Percent 19 3 4 2" xfId="6654" xr:uid="{F35A32B8-11A8-42A0-A856-E9E731729795}"/>
    <cellStyle name="Percent 19 3 5" xfId="5123" xr:uid="{578F5FBD-1ADE-4B92-B3EE-D22180012159}"/>
    <cellStyle name="Percent 19 3 5 2" xfId="6456" xr:uid="{165E1C7E-A416-4075-A5B9-A8440E336487}"/>
    <cellStyle name="Percent 19 3 6" xfId="6145" xr:uid="{BBD8F1EB-98BB-48D6-8373-6881B827F2B3}"/>
    <cellStyle name="Percent 19 4" xfId="1812" xr:uid="{0557FC4D-C4BE-428C-B537-59A4F7E54DC8}"/>
    <cellStyle name="Percent 19 4 2" xfId="1861" xr:uid="{1B874C13-326E-4C29-A1A3-C58C7523BDF0}"/>
    <cellStyle name="Percent 19 4 2 2" xfId="2948" xr:uid="{6B4DA3CA-B75D-4CAE-9E0B-499781C91BB1}"/>
    <cellStyle name="Percent 19 4 2 2 2" xfId="5845" xr:uid="{53669B91-27A8-4FA8-AF45-B6E2E95E3D9C}"/>
    <cellStyle name="Percent 19 4 2 2 2 2" xfId="6881" xr:uid="{A98CA6A9-7238-4885-A7F3-F1210A8CF6BE}"/>
    <cellStyle name="Percent 19 4 2 2 3" xfId="6331" xr:uid="{A17F6521-540E-443F-882A-06DE6F6EBE32}"/>
    <cellStyle name="Percent 19 4 2 3" xfId="4368" xr:uid="{1BABFE1C-8EFF-48CE-A8BE-54BFECA676DA}"/>
    <cellStyle name="Percent 19 4 2 3 2" xfId="6684" xr:uid="{F7D5189F-948F-41C8-8703-378C21DC5BE8}"/>
    <cellStyle name="Percent 19 4 2 4" xfId="5186" xr:uid="{D45D3376-F2EA-4EF0-BAB5-C71CB4D9FD6A}"/>
    <cellStyle name="Percent 19 4 2 4 2" xfId="6509" xr:uid="{28E0BDE0-BA4F-4930-BA8F-8E243AC18B3B}"/>
    <cellStyle name="Percent 19 4 2 5" xfId="6165" xr:uid="{5C6827E8-AE83-4EDA-9B8F-386F878B4A67}"/>
    <cellStyle name="Percent 19 4 3" xfId="2900" xr:uid="{790A6C05-A341-47E0-906A-136A3FBC92C2}"/>
    <cellStyle name="Percent 19 4 3 2" xfId="5825" xr:uid="{B4672777-B749-4878-AB7D-91CC0B99E709}"/>
    <cellStyle name="Percent 19 4 3 2 2" xfId="6838" xr:uid="{6BE95108-D517-45F2-A508-0FA1C06C0A10}"/>
    <cellStyle name="Percent 19 4 3 3" xfId="6295" xr:uid="{42B98C90-AD68-4CB2-84BF-FEEC33207F3F}"/>
    <cellStyle name="Percent 19 4 4" xfId="4332" xr:uid="{68914A9F-DEE1-4A0A-8A5F-0248FEF9D765}"/>
    <cellStyle name="Percent 19 4 4 2" xfId="6663" xr:uid="{3F8D7747-79A6-4DBA-B60B-147C17A5E4F6}"/>
    <cellStyle name="Percent 19 4 5" xfId="5139" xr:uid="{A08E8706-4CE0-4FA3-9E11-F72AEDFF2B42}"/>
    <cellStyle name="Percent 19 4 5 2" xfId="6470" xr:uid="{7E165BE4-ABA3-4132-A320-12E1D5236D18}"/>
    <cellStyle name="Percent 19 4 6" xfId="6149" xr:uid="{6B914159-4B89-413D-9BA5-37419915278E}"/>
    <cellStyle name="Percent 19 5" xfId="1829" xr:uid="{43278E3A-91A2-4474-9995-AAC20463F477}"/>
    <cellStyle name="Percent 19 5 2" xfId="2917" xr:uid="{7E045BFC-C50A-4ED7-93F8-295DD1BC0661}"/>
    <cellStyle name="Percent 19 5 2 2" xfId="5832" xr:uid="{F4E42069-5F3F-481B-AE77-AB956890528F}"/>
    <cellStyle name="Percent 19 5 2 2 2" xfId="6853" xr:uid="{4D06039A-B8E0-4AF9-9C16-ED05FDEE7AD8}"/>
    <cellStyle name="Percent 19 5 2 3" xfId="6307" xr:uid="{7BE05A4E-71A7-421A-9562-3EFDCD310C86}"/>
    <cellStyle name="Percent 19 5 3" xfId="4343" xr:uid="{7D0554E5-0D80-496F-849C-DB17B3ACE6FF}"/>
    <cellStyle name="Percent 19 5 3 2" xfId="6668" xr:uid="{51D6D11C-E35A-4373-8FE2-82575B8D7E70}"/>
    <cellStyle name="Percent 19 5 4" xfId="5155" xr:uid="{1F9CEDDF-B3FD-40A0-8372-257CD88101F0}"/>
    <cellStyle name="Percent 19 5 4 2" xfId="6483" xr:uid="{957F5DC3-3C57-405D-A889-BA9F14865587}"/>
    <cellStyle name="Percent 19 5 5" xfId="6153" xr:uid="{36DD1C57-0697-4DC7-96C3-BDA2701802AB}"/>
    <cellStyle name="Percent 19 6" xfId="1718" xr:uid="{60CF2D1B-CC75-4137-B61F-5FDC5E5EC423}"/>
    <cellStyle name="Percent 19 6 2" xfId="2843" xr:uid="{B5990DE6-F021-428C-B5BE-F11A7594EDFE}"/>
    <cellStyle name="Percent 19 6 2 2" xfId="5812" xr:uid="{62BEAD5F-651F-4519-A5F4-EEF9C6446B09}"/>
    <cellStyle name="Percent 19 6 2 2 2" xfId="6808" xr:uid="{709C3726-86AC-427E-B4E3-5956D2857742}"/>
    <cellStyle name="Percent 19 6 2 3" xfId="6269" xr:uid="{A0E6D1FB-56C9-4DD5-B341-CF543A3DCD02}"/>
    <cellStyle name="Percent 19 6 3" xfId="4288" xr:uid="{FD885542-A90E-482D-BBFF-9EEAC2A1FFB2}"/>
    <cellStyle name="Percent 19 6 3 2" xfId="6644" xr:uid="{06E81933-6BD0-4450-BDBC-497E64D9A599}"/>
    <cellStyle name="Percent 19 6 4" xfId="5108" xr:uid="{F5FF9694-0F59-4B8C-B2DB-75C6FA0F4A5A}"/>
    <cellStyle name="Percent 19 6 4 2" xfId="6441" xr:uid="{BD93A8FD-62AA-4A76-BCA4-57E8CAE98818}"/>
    <cellStyle name="Percent 19 6 5" xfId="6137" xr:uid="{84A75879-6030-4013-8AB5-E1557AF19B1F}"/>
    <cellStyle name="Percent 2" xfId="33" xr:uid="{AFD495FC-4BE9-44A0-8301-9E2C660A81A2}"/>
    <cellStyle name="Percent 2 2" xfId="28" xr:uid="{4B2F4796-01D4-4B82-9642-CDD2DA76667F}"/>
    <cellStyle name="Percent 2 2 2" xfId="146" xr:uid="{3AF07B4E-2927-455B-8AB3-EB7693B18DFC}"/>
    <cellStyle name="Percent 2 2 2 2" xfId="1474" xr:uid="{CB38CE0D-7503-4517-9D1B-14A972E8E1BB}"/>
    <cellStyle name="Percent 2 2 3" xfId="554" xr:uid="{59DBD640-8152-4F0D-AEA3-CA48E6D4B2B4}"/>
    <cellStyle name="Percent 2 2 3 2" xfId="4907" xr:uid="{06406802-1CD0-4ECB-9AC1-8E495AEB328E}"/>
    <cellStyle name="Percent 2 2 3 3" xfId="2633" xr:uid="{2E7494E9-2DCB-4839-AA70-987E7A992679}"/>
    <cellStyle name="Percent 2 2 4" xfId="2154" xr:uid="{EE5B43E6-6D52-48D9-A2EE-EFFF1655C90A}"/>
    <cellStyle name="Percent 2 2 4 2" xfId="4025" xr:uid="{0B0F7801-5470-4716-BC95-C182CE2A9310}"/>
    <cellStyle name="Percent 2 2 5" xfId="3725" xr:uid="{28EFDD4F-E43A-4957-932D-ABC3294CA634}"/>
    <cellStyle name="Percent 2 2 6" xfId="1099" xr:uid="{7D5F005F-6579-4830-81DC-E4D6C60938A6}"/>
    <cellStyle name="Percent 2 3" xfId="145" xr:uid="{39EDD065-9A67-4A6E-B5D8-14258547308A}"/>
    <cellStyle name="Percent 2 3 2" xfId="4908" xr:uid="{D1BFAF51-ADD1-4F0A-9A16-4A93B3B7735B}"/>
    <cellStyle name="Percent 2 3 3" xfId="4128" xr:uid="{E9E43A39-AA02-45C7-9DC6-80FD0DC943FD}"/>
    <cellStyle name="Percent 2 3 4" xfId="3726" xr:uid="{A03EFD82-F7A5-4B10-A17D-FC9A76AF9065}"/>
    <cellStyle name="Percent 2 3 5" xfId="1364" xr:uid="{CD75055E-7429-4ECC-A4BD-BFC6B1931D71}"/>
    <cellStyle name="Percent 2 3 6" xfId="7237" xr:uid="{2AF67815-D256-4E17-8D88-CDD9AF47FDFC}"/>
    <cellStyle name="Percent 2 4" xfId="1706" xr:uid="{1AE49023-DEFD-46FF-B1DE-96221845FDC5}"/>
    <cellStyle name="Percent 2 4 2" xfId="4909" xr:uid="{C6647DBA-215F-4E26-ADE3-A26E9D596237}"/>
    <cellStyle name="Percent 2 4 3" xfId="4285" xr:uid="{6979F994-6A25-4CA5-932A-E214B90172A6}"/>
    <cellStyle name="Percent 2 4 4" xfId="3727" xr:uid="{21946E66-1219-475F-B6FA-DC3FFD815D64}"/>
    <cellStyle name="Percent 2 5" xfId="3728" xr:uid="{6D6899A0-3BA1-4939-8803-B0C0ECA41062}"/>
    <cellStyle name="Percent 2 5 2" xfId="5452" xr:uid="{4FA3B103-2A07-4030-B4BB-FE3ABB820F08}"/>
    <cellStyle name="Percent 2 6" xfId="3724" xr:uid="{0B538A76-0E92-4A93-994E-6C639E415BBF}"/>
    <cellStyle name="Percent 2 6 2" xfId="5461" xr:uid="{97338C0E-25D2-4B05-8339-3543E4F095E4}"/>
    <cellStyle name="Percent 2 7" xfId="6015" xr:uid="{EA92E35F-23D0-4898-8DCE-BF239BC7F2F7}"/>
    <cellStyle name="Percent 2 7 2" xfId="6998" xr:uid="{AD19CABE-4909-4CDE-876D-A42BE58861D2}"/>
    <cellStyle name="Percent 2 8" xfId="788" xr:uid="{B7E87EFB-D779-4FBB-B6CA-13ECDD553368}"/>
    <cellStyle name="Percent 20" xfId="828" xr:uid="{EBA40952-BDF8-49CC-BF0B-3EBF4B0706EF}"/>
    <cellStyle name="Percent 20 2" xfId="1100" xr:uid="{7DB3EB5B-1E0F-498E-9670-D220471CE34A}"/>
    <cellStyle name="Percent 20 3" xfId="1783" xr:uid="{21CE3C89-34C1-450E-A67F-27933CABF9BE}"/>
    <cellStyle name="Percent 20 4" xfId="1720" xr:uid="{890407E5-7377-4495-9DD1-DBED86EB7420}"/>
    <cellStyle name="Percent 21" xfId="1622" xr:uid="{4AD436AE-1806-4A9B-A783-925ECBBC60E1}"/>
    <cellStyle name="Percent 21 2" xfId="1786" xr:uid="{718403FC-CB28-40B2-876E-B4527825D81C}"/>
    <cellStyle name="Percent 21 2 10" xfId="5347" xr:uid="{0DEB3444-80BA-432F-A2AA-8FC00698C686}"/>
    <cellStyle name="Percent 21 2 2" xfId="2246" xr:uid="{D36DEC5D-ABC4-45AA-A1F8-2670FF140C50}"/>
    <cellStyle name="Percent 21 2 2 2" xfId="2475" xr:uid="{41FB0803-8C9D-48CC-8587-4961DAFF1D7E}"/>
    <cellStyle name="Percent 21 2 2 2 2" xfId="3196" xr:uid="{5E362E6A-1533-4972-87F9-326D0C7C7A29}"/>
    <cellStyle name="Percent 21 2 2 2 2 2" xfId="4604" xr:uid="{9660FE49-6CE2-4E09-933B-D27078CC57E2}"/>
    <cellStyle name="Percent 21 2 2 2 3" xfId="3603" xr:uid="{2946894D-9482-4D93-B0CE-6976011B1BA2}"/>
    <cellStyle name="Percent 21 2 2 2 3 2" xfId="4824" xr:uid="{28C5E4FA-68F1-4CAD-9F81-1C15FEF54817}"/>
    <cellStyle name="Percent 21 2 2 2 4" xfId="3911" xr:uid="{EC35E0CB-73AB-4C13-B422-3C8AEBC2DBD4}"/>
    <cellStyle name="Percent 21 2 2 2 5" xfId="3101" xr:uid="{0CCCB382-D6C7-434C-A260-49D0E6804BFB}"/>
    <cellStyle name="Percent 21 2 2 3" xfId="3151" xr:uid="{D1B0E681-C96B-488A-8A7E-FBFFFB3E2B52}"/>
    <cellStyle name="Percent 21 2 2 3 2" xfId="4559" xr:uid="{EEFE2CFC-C5D0-4EF6-B72B-33B10ABC8EE6}"/>
    <cellStyle name="Percent 21 2 2 4" xfId="3541" xr:uid="{EC3E9136-22B0-407C-907F-75EDDB3578DE}"/>
    <cellStyle name="Percent 21 2 2 4 2" xfId="4774" xr:uid="{8FD7E0B8-02FF-4155-A8B4-481399E6818D}"/>
    <cellStyle name="Percent 21 2 2 5" xfId="3863" xr:uid="{49E01199-4FC5-4DA6-9BB3-E6DD3030359B}"/>
    <cellStyle name="Percent 21 2 2 6" xfId="3047" xr:uid="{DC5B35D2-514A-4252-9CEB-3FBD0FA94F1B}"/>
    <cellStyle name="Percent 21 2 2 7" xfId="5405" xr:uid="{256544FD-88FB-4F61-B12D-E693F8A4A782}"/>
    <cellStyle name="Percent 21 2 3" xfId="2378" xr:uid="{C4C62F81-CB3E-4678-9D92-F61B18391823}"/>
    <cellStyle name="Percent 21 2 3 2" xfId="3175" xr:uid="{B0D398AA-90E5-4A79-ABE8-2D9186BF94E6}"/>
    <cellStyle name="Percent 21 2 3 2 2" xfId="4583" xr:uid="{CDEF7741-C533-44A8-A7E5-33AD58FE7BBE}"/>
    <cellStyle name="Percent 21 2 3 3" xfId="3582" xr:uid="{375B99EF-3353-4909-84DF-486DC800119A}"/>
    <cellStyle name="Percent 21 2 3 3 2" xfId="4803" xr:uid="{9EC3492A-EB08-46F6-B822-0BAE4B75720E}"/>
    <cellStyle name="Percent 21 2 3 4" xfId="3890" xr:uid="{399719B1-18FB-41A7-80D3-20E403ED06D3}"/>
    <cellStyle name="Percent 21 2 3 5" xfId="3080" xr:uid="{992096BF-1B00-447E-A7C3-944EE7E9820F}"/>
    <cellStyle name="Percent 21 2 4" xfId="2880" xr:uid="{E1A68C15-E1F7-4A34-901B-EBD734A86B33}"/>
    <cellStyle name="Percent 21 2 4 2" xfId="4538" xr:uid="{3777F663-A337-4C99-8288-96251E75CAAE}"/>
    <cellStyle name="Percent 21 2 4 3" xfId="3130" xr:uid="{45A32F0D-84B5-4C75-A4D5-45F40EF9C0C1}"/>
    <cellStyle name="Percent 21 2 5" xfId="2084" xr:uid="{70F67259-1F4E-4F97-97AE-957EBD3548A4}"/>
    <cellStyle name="Percent 21 2 5 2" xfId="4735" xr:uid="{AC06A80E-970C-4B7C-BC5E-C2A342A566ED}"/>
    <cellStyle name="Percent 21 2 5 3" xfId="3437" xr:uid="{1BEDA6EA-C9D1-4EB7-BDD8-BDE1EE5770A4}"/>
    <cellStyle name="Percent 21 2 6" xfId="3842" xr:uid="{6839A6B3-358C-4843-9F37-629440D8B508}"/>
    <cellStyle name="Percent 21 2 7" xfId="4438" xr:uid="{8A5C45F4-EDFF-4C58-B20D-BEE18571AC01}"/>
    <cellStyle name="Percent 21 2 8" xfId="4317" xr:uid="{2EF6423F-CB39-4EA8-A4B4-412338AA97B9}"/>
    <cellStyle name="Percent 21 2 9" xfId="3024" xr:uid="{9431E7FB-5909-4BCE-98D8-A933F21E5A66}"/>
    <cellStyle name="Percent 21 3" xfId="1723" xr:uid="{7B759867-81C9-4DE6-90D2-CC1E63969064}"/>
    <cellStyle name="Percent 21 3 2" xfId="5375" xr:uid="{7BABC46D-CB96-4C41-B9F4-D265A4C3FE04}"/>
    <cellStyle name="Percent 21 4" xfId="2224" xr:uid="{D000074A-F50E-47C5-B086-F38A424BB658}"/>
    <cellStyle name="Percent 21 4 2" xfId="2455" xr:uid="{85561028-A6C8-45CB-8F02-F82BD0A7B109}"/>
    <cellStyle name="Percent 21 4 3" xfId="4218" xr:uid="{E6F106DC-4F57-4C1A-8F87-F136B03EE217}"/>
    <cellStyle name="Percent 21 5" xfId="2355" xr:uid="{BCC9E2A3-319E-4246-8498-C81D81C39866}"/>
    <cellStyle name="Percent 21 6" xfId="2772" xr:uid="{EEF62886-5496-4C16-9171-1ECA71A08CCA}"/>
    <cellStyle name="Percent 21 7" xfId="2012" xr:uid="{4DD212B2-4095-4695-8AEB-1EB338E4FCDB}"/>
    <cellStyle name="Percent 21 8" xfId="5286" xr:uid="{E177796F-8CF5-4C14-AF0B-002F2637DA1C}"/>
    <cellStyle name="Percent 22" xfId="1729" xr:uid="{A4234382-4737-4518-B8EC-AEA62D50B699}"/>
    <cellStyle name="Percent 22 2" xfId="1789" xr:uid="{765A5E94-CCEE-40EF-B194-31123B90E23B}"/>
    <cellStyle name="Percent 22 2 2" xfId="2256" xr:uid="{8D42F553-8A14-489F-B847-8A816A9F0AB3}"/>
    <cellStyle name="Percent 22 2 2 2" xfId="2485" xr:uid="{B5E7DD13-60EB-4B10-9C61-1F7C0F2B6937}"/>
    <cellStyle name="Percent 22 2 2 2 2" xfId="3205" xr:uid="{D23CC46D-3A67-47C7-9C33-B8C62945D840}"/>
    <cellStyle name="Percent 22 2 2 2 2 2" xfId="4613" xr:uid="{CA6EAD21-003D-4B66-BB9E-98EB7587B218}"/>
    <cellStyle name="Percent 22 2 2 2 3" xfId="3612" xr:uid="{B940B092-2DAF-4773-90FE-0E9E2F1FA4B6}"/>
    <cellStyle name="Percent 22 2 2 2 3 2" xfId="4833" xr:uid="{EE07D175-EF63-478C-99B6-7C9A389F5AE2}"/>
    <cellStyle name="Percent 22 2 2 2 4" xfId="3920" xr:uid="{E934F106-2E1C-4BC3-A0AD-8BBBC6FD395C}"/>
    <cellStyle name="Percent 22 2 2 2 5" xfId="3110" xr:uid="{A820C508-CA13-45DF-A09F-875050ECEB90}"/>
    <cellStyle name="Percent 22 2 2 3" xfId="3160" xr:uid="{BA441A01-EE5C-470A-B62E-93818B868B9C}"/>
    <cellStyle name="Percent 22 2 2 3 2" xfId="4568" xr:uid="{2BF3C944-E0E4-4655-9004-3C2465732DF4}"/>
    <cellStyle name="Percent 22 2 2 4" xfId="3553" xr:uid="{5AFDDE80-8F4D-485E-8FA3-AC47CF7C3DC7}"/>
    <cellStyle name="Percent 22 2 2 4 2" xfId="4783" xr:uid="{462C69E6-FCEE-4852-BB7D-3C2A492584B5}"/>
    <cellStyle name="Percent 22 2 2 5" xfId="3872" xr:uid="{09F5716A-10B6-44DB-B1EC-ECCD2C238B6E}"/>
    <cellStyle name="Percent 22 2 2 6" xfId="3056" xr:uid="{FBD4CA45-25F9-4E12-BF34-EB1C826EEBF0}"/>
    <cellStyle name="Percent 22 2 3" xfId="2388" xr:uid="{70C13314-4047-42DC-9708-8ADB697C34C2}"/>
    <cellStyle name="Percent 22 2 3 2" xfId="3184" xr:uid="{C705C2EF-D5FF-43A5-BE88-33FCB8409E87}"/>
    <cellStyle name="Percent 22 2 3 2 2" xfId="4592" xr:uid="{F00D86F0-8CA8-4E7D-88C3-14703B8C4DE4}"/>
    <cellStyle name="Percent 22 2 3 3" xfId="3591" xr:uid="{E6921CA4-4576-46F0-A723-FE8384D1C5C9}"/>
    <cellStyle name="Percent 22 2 3 3 2" xfId="4812" xr:uid="{F81AD3EA-B4D8-4623-9238-0293400253D7}"/>
    <cellStyle name="Percent 22 2 3 4" xfId="3899" xr:uid="{681ABA66-89B6-4DDA-B95F-07F253A3A7FE}"/>
    <cellStyle name="Percent 22 2 3 5" xfId="3089" xr:uid="{67C1C8E1-C5EE-445F-85A7-11635A4C5CD1}"/>
    <cellStyle name="Percent 22 2 4" xfId="2882" xr:uid="{1D67AE05-F19F-45F0-9D63-715C3B0D8606}"/>
    <cellStyle name="Percent 22 2 4 2" xfId="4547" xr:uid="{B2DA8EB1-5E7C-405C-B5ED-5F0E97DFBE79}"/>
    <cellStyle name="Percent 22 2 4 3" xfId="3139" xr:uid="{702CAB45-38E2-437E-A912-7802B978E6AF}"/>
    <cellStyle name="Percent 22 2 5" xfId="2094" xr:uid="{60582C53-97A2-47F2-88EB-2AA22E1BCE56}"/>
    <cellStyle name="Percent 22 2 5 2" xfId="4760" xr:uid="{CDD46FAD-F170-497B-92C3-B2B886DD5A44}"/>
    <cellStyle name="Percent 22 2 5 3" xfId="3517" xr:uid="{BE637391-DF5B-4EC8-AEEC-803C7171359B}"/>
    <cellStyle name="Percent 22 2 6" xfId="3851" xr:uid="{507ABA3B-15A1-4A27-8102-BBCEE6F574F0}"/>
    <cellStyle name="Percent 22 2 7" xfId="4459" xr:uid="{20181DEF-FD98-4C8C-AF1D-6CCB4E83D414}"/>
    <cellStyle name="Percent 22 2 8" xfId="4318" xr:uid="{ADD22136-923F-4243-A1F8-427493F0B83F}"/>
    <cellStyle name="Percent 22 2 9" xfId="3035" xr:uid="{17ECC5FD-70AC-4DC3-81B2-30A9CDE2B210}"/>
    <cellStyle name="Percent 22 3" xfId="2146" xr:uid="{1E2F0C98-4792-4CD0-A608-E1A2518DF52C}"/>
    <cellStyle name="Percent 22 4" xfId="2235" xr:uid="{9E299052-7C32-48F9-89C4-1213DA6A4278}"/>
    <cellStyle name="Percent 22 4 2" xfId="2465" xr:uid="{4BBD421F-2AE1-4035-BD06-6882CC3DC685}"/>
    <cellStyle name="Percent 22 5" xfId="2368" xr:uid="{2E646858-D7C8-4B08-AEA6-6B35DB824849}"/>
    <cellStyle name="Percent 22 6" xfId="2072" xr:uid="{7E685FBD-6C65-4D14-B29E-DDD5E933DFF5}"/>
    <cellStyle name="Percent 23" xfId="1732" xr:uid="{EAAFE14B-EF2C-4F0F-A1A4-9C8E7F59C707}"/>
    <cellStyle name="Percent 23 2" xfId="1792" xr:uid="{1673F318-8E3C-48C0-94E0-C037204EE28D}"/>
    <cellStyle name="Percent 23 2 2" xfId="5411" xr:uid="{0DCA6410-E244-4E11-BB54-E7F89D8FDF7B}"/>
    <cellStyle name="Percent 23 2 3" xfId="5353" xr:uid="{B245C464-AEFA-4859-93A9-B5DE917DD5E4}"/>
    <cellStyle name="Percent 23 3" xfId="5381" xr:uid="{1EB9C0CC-3E66-49E8-9FB4-DA594F0C3625}"/>
    <cellStyle name="Percent 23 4" xfId="5322" xr:uid="{CF8D4E47-A759-408D-84D3-5577843C14EF}"/>
    <cellStyle name="Percent 24" xfId="1751" xr:uid="{0004856A-0DBF-4FF1-8B1A-1C8C6AB8AF71}"/>
    <cellStyle name="Percent 25" xfId="1753" xr:uid="{9AB9E761-826C-4AF3-B3A9-4A922F7869F7}"/>
    <cellStyle name="Percent 26" xfId="1742" xr:uid="{CFAFDA59-D850-40AB-84E1-451C839EFBCB}"/>
    <cellStyle name="Percent 27" xfId="1707" xr:uid="{0B64A2A1-8805-4F27-A287-BD5F23035F30}"/>
    <cellStyle name="Percent 27 2" xfId="2839" xr:uid="{4F21C505-5EB8-4C4F-AFE0-1B671AC26016}"/>
    <cellStyle name="Percent 27 2 2" xfId="4467" xr:uid="{C390189B-AA90-4B19-861C-849F4B6E5710}"/>
    <cellStyle name="Percent 27 3" xfId="2173" xr:uid="{DF853FC7-C02B-4174-A162-47617CEED975}"/>
    <cellStyle name="Percent 27 3 2" xfId="4286" xr:uid="{81CF73F5-84AF-472A-945A-CAA0DAEA863D}"/>
    <cellStyle name="Percent 28" xfId="2024" xr:uid="{CEB63946-841D-46F5-9DA3-39032FB3C226}"/>
    <cellStyle name="Percent 28 2" xfId="2130" xr:uid="{E526C92A-73AC-46AB-BFF1-9D49740C3EF5}"/>
    <cellStyle name="Percent 29" xfId="2107" xr:uid="{8E465D54-ADA0-4BE2-9AF2-20527D8B3DEA}"/>
    <cellStyle name="Percent 3" xfId="147" xr:uid="{FA5BCE5B-5CA6-4A65-96ED-47A9CC88A56C}"/>
    <cellStyle name="Percent 3 2" xfId="148" xr:uid="{4A62D95F-37FC-4A77-A44D-A28A6B6FCCA7}"/>
    <cellStyle name="Percent 3 2 2" xfId="576" xr:uid="{EC7579BC-7C68-4BD7-9C48-FFC05CE1878B}"/>
    <cellStyle name="Percent 3 2 3" xfId="7263" xr:uid="{9373E04B-4ABE-4685-B46B-EC8DFF5EB774}"/>
    <cellStyle name="Percent 3 3" xfId="583" xr:uid="{7BF048BA-C9E7-4230-B81C-966DA6FE7209}"/>
    <cellStyle name="Percent 3 3 2" xfId="1444" xr:uid="{2B293054-0CEE-4574-915E-2CC0EB20DB70}"/>
    <cellStyle name="Percent 3 3 3" xfId="4911" xr:uid="{68F74974-8108-4816-A15D-FA3EF333D065}"/>
    <cellStyle name="Percent 3 3 4" xfId="4026" xr:uid="{480DFE02-FCB5-4015-880C-8876CA5D8054}"/>
    <cellStyle name="Percent 3 3 5" xfId="3730" xr:uid="{EDF38B7F-4EC5-40FB-AA5C-0BBA493A285D}"/>
    <cellStyle name="Percent 3 3 6" xfId="1101" xr:uid="{396A5B9D-48D8-4D47-A570-2DA54794ADFB}"/>
    <cellStyle name="Percent 3 4" xfId="1445" xr:uid="{FDF03409-8138-4047-9DE3-222C0CCB3C17}"/>
    <cellStyle name="Percent 3 5" xfId="1446" xr:uid="{B29FFBC7-B51A-4169-B843-D4F22BCB53C3}"/>
    <cellStyle name="Percent 3 5 2" xfId="4910" xr:uid="{2DC7B58B-8889-486A-BB05-59D7B80BFF25}"/>
    <cellStyle name="Percent 3 5 3" xfId="4162" xr:uid="{58C7C120-DF0A-453A-9820-1B5BB8C1C88D}"/>
    <cellStyle name="Percent 3 5 4" xfId="3729" xr:uid="{8967C61B-4BA0-4B43-89EA-7F100E4305C1}"/>
    <cellStyle name="Percent 3 6" xfId="1475" xr:uid="{66028EF1-9FC6-4528-8CD6-DDB1D46653BA}"/>
    <cellStyle name="Percent 3 7" xfId="1365" xr:uid="{2B64B912-582D-4DFD-82BB-60D4F511907E}"/>
    <cellStyle name="Percent 3 8" xfId="881" xr:uid="{A775967F-8EEC-413B-BD91-47B24A7E417A}"/>
    <cellStyle name="Percent 3 9" xfId="7308" xr:uid="{69C0778D-1EC2-447B-BDE6-CA595B7899FD}"/>
    <cellStyle name="Percent 30" xfId="2186" xr:uid="{93C1AABC-C487-4308-93D2-67606B63FE60}"/>
    <cellStyle name="Percent 31" xfId="2232" xr:uid="{3B5A0B99-2C33-42B6-9044-84B77A9B1369}"/>
    <cellStyle name="Percent 32" xfId="2216" xr:uid="{3A6067A5-6FB5-4481-A3D4-054E1CFFAE03}"/>
    <cellStyle name="Percent 32 2" xfId="3065" xr:uid="{903A0B36-99C7-4742-BF90-489453A81927}"/>
    <cellStyle name="Percent 33" xfId="2309" xr:uid="{803AA0D7-8B88-40A6-BD15-E0A7C2E209BA}"/>
    <cellStyle name="Percent 34" xfId="2333" xr:uid="{FDF6987B-BB0D-40A6-A395-5F72FE3A548C}"/>
    <cellStyle name="Percent 35" xfId="2365" xr:uid="{3251948C-D19C-447A-8A63-07AA75DABED3}"/>
    <cellStyle name="Percent 36" xfId="2351" xr:uid="{061BE2EA-C1E7-4747-830A-41AFA7F6E740}"/>
    <cellStyle name="Percent 37" xfId="2438" xr:uid="{A7C8D012-55EB-4FA8-A5A1-F0450E119A23}"/>
    <cellStyle name="Percent 38" xfId="2561" xr:uid="{5CDA5785-C09A-49FB-9FFB-F14DBD9958F7}"/>
    <cellStyle name="Percent 38 2" xfId="3823" xr:uid="{45060BD6-4111-4AEF-8470-0D8832865292}"/>
    <cellStyle name="Percent 39" xfId="2404" xr:uid="{BECFC58E-2B5A-4AC4-A027-ABADA168FA5A}"/>
    <cellStyle name="Percent 4" xfId="149" xr:uid="{1AA77580-9FE8-4D11-A621-F5D327F7F0E8}"/>
    <cellStyle name="Percent 4 2" xfId="594" xr:uid="{18E95CA9-D0B9-47DA-9C59-7BF2B75D7A07}"/>
    <cellStyle name="Percent 4 2 2" xfId="4913" xr:uid="{16115291-7AD5-4C2D-A384-ED384254C533}"/>
    <cellStyle name="Percent 4 2 3" xfId="4027" xr:uid="{2E1C99F4-0EA4-4CDE-B0EC-BE29A295BE27}"/>
    <cellStyle name="Percent 4 2 4" xfId="3732" xr:uid="{2FEA1F64-4281-4ACF-B770-DDE5F4881873}"/>
    <cellStyle name="Percent 4 2 5" xfId="1102" xr:uid="{E8A293DC-B5B7-4DA4-A26B-AB4AF4E7BE7E}"/>
    <cellStyle name="Percent 4 3" xfId="577" xr:uid="{AD89D28B-A56D-48DB-8006-BC4552EC497A}"/>
    <cellStyle name="Percent 4 3 2" xfId="4912" xr:uid="{E706301B-CF47-474F-8348-FCE2DE9EC4E8}"/>
    <cellStyle name="Percent 4 3 3" xfId="4129" xr:uid="{DC695E52-F038-41C3-B860-3B35EA9D65A7}"/>
    <cellStyle name="Percent 4 3 4" xfId="3731" xr:uid="{DD150A8B-3B2C-40FE-B304-F8182DB46D49}"/>
    <cellStyle name="Percent 4 3 5" xfId="1366" xr:uid="{21E2648A-4379-4197-ADD4-D6A9F14B2AD5}"/>
    <cellStyle name="Percent 4 4" xfId="912" xr:uid="{80CD855C-2922-473B-856B-D073862FC50B}"/>
    <cellStyle name="Percent 4 5" xfId="7160" xr:uid="{D9D05E0B-99A5-44E5-9D8A-244491F35D65}"/>
    <cellStyle name="Percent 40" xfId="2554" xr:uid="{0FFF2FF7-D99E-4271-BAA8-8B25E6508C0F}"/>
    <cellStyle name="Percent 41" xfId="2590" xr:uid="{A7700A90-09C8-4A10-A471-8C6D8D47FC39}"/>
    <cellStyle name="Percent 42" xfId="4983" xr:uid="{F97F014F-78A7-4BFD-8E46-3C96D1C0BB98}"/>
    <cellStyle name="Percent 43" xfId="4993" xr:uid="{C1D6E02F-7163-4D0D-86A9-4B2A75F2A83F}"/>
    <cellStyle name="Percent 44" xfId="4984" xr:uid="{CE1CE1DC-E063-4FE7-BA77-C04B80D19ADF}"/>
    <cellStyle name="Percent 45" xfId="656" xr:uid="{BE4E322E-1DBB-4950-B90D-FA6E41CFCA47}"/>
    <cellStyle name="Percent 46" xfId="985" xr:uid="{059E9149-5F7C-4E56-848E-6557A92F0536}"/>
    <cellStyle name="Percent 47" xfId="5438" xr:uid="{CDE654CC-3D52-4967-A830-960D57164B65}"/>
    <cellStyle name="Percent 48" xfId="5561" xr:uid="{F7F7467F-866D-4829-8817-50A8B3BE3DB5}"/>
    <cellStyle name="Percent 49" xfId="6004" xr:uid="{9BB786A1-EC76-428B-A17A-A0E4C2F47FC3}"/>
    <cellStyle name="Percent 5" xfId="463" xr:uid="{FB43EF6C-F026-4359-8E6A-5D799EC7362E}"/>
    <cellStyle name="Percent 5 2" xfId="1103" xr:uid="{505DB9DD-1F3C-41B6-B485-EE39081ED4F1}"/>
    <cellStyle name="Percent 5 2 2" xfId="4914" xr:uid="{1121CE85-7147-4CA3-9477-9A41138B9CFF}"/>
    <cellStyle name="Percent 5 2 3" xfId="4028" xr:uid="{C5A6583A-BA7E-4B91-8951-1F50599E24FD}"/>
    <cellStyle name="Percent 5 2 4" xfId="3733" xr:uid="{00D13F90-A32F-46C9-8742-6460A04C58A9}"/>
    <cellStyle name="Percent 5 3" xfId="1367" xr:uid="{11AEE973-A2EB-42EF-A32A-CB410AAD2D59}"/>
    <cellStyle name="Percent 5 4" xfId="208" xr:uid="{070A16EA-440B-44B6-9368-2BE01FE46427}"/>
    <cellStyle name="Percent 5 5" xfId="7218" xr:uid="{4F6A04BC-C377-4CBC-9411-A919F4DC193A}"/>
    <cellStyle name="Percent 50" xfId="5513" xr:uid="{EC9FB04F-D130-4D2C-BBF2-5DB2962419B4}"/>
    <cellStyle name="Percent 51" xfId="5644" xr:uid="{915AB7F6-BD67-4A90-B93A-DE1A451DEDD0}"/>
    <cellStyle name="Percent 52" xfId="7031" xr:uid="{D4CC3D3B-2455-46A7-B96E-F1285D14DF25}"/>
    <cellStyle name="Percent 53" xfId="7316" xr:uid="{028A08D5-28C0-47E7-8ABD-281C9ADE8452}"/>
    <cellStyle name="Percent 54" xfId="7323" xr:uid="{0ECB1AF7-2FD3-4267-87E3-6CADA7D9022D}"/>
    <cellStyle name="Percent 55" xfId="7347" xr:uid="{0A567FC5-2B5C-4F9D-8898-FC191768F173}"/>
    <cellStyle name="Percent 6" xfId="579" xr:uid="{B205D7D5-675A-4848-95B5-CDF95F0FB392}"/>
    <cellStyle name="Percent 6 2" xfId="584" xr:uid="{0B615C43-E2EC-486C-9CE7-3AEC7ACB39AA}"/>
    <cellStyle name="Percent 6 2 2" xfId="1490" xr:uid="{8106D57B-6804-47D7-9183-4173B115A2CF}"/>
    <cellStyle name="Percent 6 2 3" xfId="4915" xr:uid="{8E790C27-9EF3-4251-8E20-A8AA16E3C3F0}"/>
    <cellStyle name="Percent 6 2 4" xfId="4029" xr:uid="{E3C6444D-A3E6-420F-8201-42BB834DDFFD}"/>
    <cellStyle name="Percent 6 2 5" xfId="3734" xr:uid="{AECC744D-A879-49C5-A0E2-3BBB2B9FD4AC}"/>
    <cellStyle name="Percent 6 2 6" xfId="1104" xr:uid="{530EC0C4-DBB2-4381-B172-AFFA752960C8}"/>
    <cellStyle name="Percent 6 3" xfId="1449" xr:uid="{76A77837-7FDC-42F3-9C5E-94E283BD7594}"/>
    <cellStyle name="Percent 6 4" xfId="940" xr:uid="{F4DE7140-4C9B-40EE-8114-60D664E374D7}"/>
    <cellStyle name="Percent 6 5" xfId="7159" xr:uid="{6DDA0C22-747E-4054-9587-952A91F480F7}"/>
    <cellStyle name="Percent 7" xfId="455" xr:uid="{AB6EEB4F-E5EE-4753-AE81-1507574DEC10}"/>
    <cellStyle name="Percent 7 2" xfId="1105" xr:uid="{C7A917DD-BB79-4FFB-9644-F4F1D5FE8D41}"/>
    <cellStyle name="Percent 7 2 2" xfId="4916" xr:uid="{F91F987C-927F-4AB6-9FD3-3F0F2A4E4A44}"/>
    <cellStyle name="Percent 7 2 3" xfId="4030" xr:uid="{22BF8EE1-445C-4875-92E6-43813D38E0C1}"/>
    <cellStyle name="Percent 7 2 4" xfId="3735" xr:uid="{54F4D246-147C-4A2F-B8CE-5DB98C1844B9}"/>
    <cellStyle name="Percent 7 3" xfId="935" xr:uid="{B35B68E2-443D-402D-91F6-07C2F3D6696D}"/>
    <cellStyle name="Percent 7 4" xfId="7291" xr:uid="{C1DED6FC-F392-42AF-93A4-E0AF9DA93036}"/>
    <cellStyle name="Percent 8" xfId="582" xr:uid="{1CDC8189-6833-4BBD-A392-A12C45D1543F}"/>
    <cellStyle name="Percent 8 2" xfId="1106" xr:uid="{6323010B-97D1-482C-B0C8-94EB3CA23171}"/>
    <cellStyle name="Percent 8 2 2" xfId="4917" xr:uid="{456A6197-DCAB-4DDC-8CE8-260BEE6204F3}"/>
    <cellStyle name="Percent 8 2 3" xfId="4031" xr:uid="{643DCADD-5BD0-4B61-94E1-73149F24EF7B}"/>
    <cellStyle name="Percent 8 2 4" xfId="3737" xr:uid="{2D567807-E0C1-4B73-B151-A3701E1F9578}"/>
    <cellStyle name="Percent 8 3" xfId="3736" xr:uid="{94CD06EC-00BA-4085-B189-BDF89A2D8D22}"/>
    <cellStyle name="Percent 8 4" xfId="775" xr:uid="{D42EB043-DE14-49FC-B48B-56C410C9DEFD}"/>
    <cellStyle name="Percent 8 5" xfId="7114" xr:uid="{94D02C67-BB3B-4C61-80B1-86BA324A0ABE}"/>
    <cellStyle name="Percent 9" xfId="578" xr:uid="{2833D8A8-A811-4F76-9961-EAF2DC6E0ED4}"/>
    <cellStyle name="Percent 9 2" xfId="1107" xr:uid="{392C2779-5DFE-40C7-AD52-FA68908997DF}"/>
    <cellStyle name="Percent 9 2 2" xfId="4918" xr:uid="{1B99A246-8FB0-4E67-87F1-D00B3BF619CF}"/>
    <cellStyle name="Percent 9 2 3" xfId="4032" xr:uid="{0EAC627A-CEA1-4ED2-9A10-9723091EB607}"/>
    <cellStyle name="Percent 9 2 4" xfId="3738" xr:uid="{CCB4BEE4-E8D2-4B8B-AFA5-9F390388E42D}"/>
    <cellStyle name="Percent 9 3" xfId="928" xr:uid="{54711149-A9D8-450E-AA3D-99D01A7C9084}"/>
    <cellStyle name="Percent 9 4" xfId="7006" xr:uid="{3555DE8D-6BD6-4F91-A57D-6254A4994586}"/>
    <cellStyle name="PERCENTAGE" xfId="878" xr:uid="{B92F654B-788D-457B-B5A4-3BF601C9396D}"/>
    <cellStyle name="Porcentual_ret_conso_statu_2000" xfId="705" xr:uid="{26BDF618-20BC-4CAC-93A0-9888FD6F6B3C}"/>
    <cellStyle name="PrePop Currency (0)" xfId="231" xr:uid="{8457B856-1FC8-4489-B920-960A6D5B9308}"/>
    <cellStyle name="PrePop Currency (0) 2" xfId="724" xr:uid="{0EE8DCC6-744E-4375-A500-3025E5297918}"/>
    <cellStyle name="PrePop Currency (0) 2 2" xfId="1108" xr:uid="{CB7C1FC0-395C-4685-8259-3748BFBFBBCF}"/>
    <cellStyle name="PrePop Currency (0) 2 2 2" xfId="1369" xr:uid="{17574EE4-3176-4A72-88C7-685FB8C7B5A8}"/>
    <cellStyle name="PrePop Currency (0) 2 3" xfId="1368" xr:uid="{9CF4478F-7A43-4C53-BDF7-FD2765F50833}"/>
    <cellStyle name="PrePop Currency (0) 3" xfId="1370" xr:uid="{97150FFF-E259-41EA-A090-E6DD086D45C5}"/>
    <cellStyle name="PrePop Currency (0)_Bank Recconcile 14 Oct 2016" xfId="3739" xr:uid="{5BB75B30-00F9-404D-9209-1D6F058C419B}"/>
    <cellStyle name="PrePop Currency (2)" xfId="699" xr:uid="{9EF0EF0E-8BBE-44D4-A489-734B26D38DF8}"/>
    <cellStyle name="PrePop Units (0)" xfId="929" xr:uid="{F97BD525-CCA6-4CAD-9592-037C948703CE}"/>
    <cellStyle name="PrePop Units (0) 2" xfId="888" xr:uid="{096FE16F-C0DC-4727-BAF0-FD868AE47547}"/>
    <cellStyle name="PrePop Units (0) 2 2" xfId="1109" xr:uid="{D665DB74-7DAF-44A4-AE35-2835C0764F19}"/>
    <cellStyle name="PrePop Units (0) 2 2 2" xfId="1372" xr:uid="{1E0F93C0-18AC-40EF-888B-31E0656BB1E6}"/>
    <cellStyle name="PrePop Units (0) 2 3" xfId="1371" xr:uid="{7E10BCF8-1A31-488D-9BB1-0AF96758B34E}"/>
    <cellStyle name="PrePop Units (0) 3" xfId="1373" xr:uid="{AFEA7821-63DE-4D8D-AC79-24B630863509}"/>
    <cellStyle name="PrePop Units (0)_Bank Recconcile 14 Oct 2016" xfId="3740" xr:uid="{431656C5-04D1-4447-8E7F-20DA1F770716}"/>
    <cellStyle name="PrePop Units (1)" xfId="239" xr:uid="{762B5F72-7475-4045-BC70-7C33243F3CF0}"/>
    <cellStyle name="PrePop Units (1) 2" xfId="918" xr:uid="{C6ADA170-08F5-47E7-9B2D-30190C670513}"/>
    <cellStyle name="PrePop Units (1) 2 2" xfId="1110" xr:uid="{E2EFB1A2-10C1-4306-9573-EA9C8A5AF611}"/>
    <cellStyle name="PrePop Units (1) 2 2 2" xfId="1375" xr:uid="{90B22211-A2C1-4799-BA37-6038EB83A474}"/>
    <cellStyle name="PrePop Units (1) 2 3" xfId="1374" xr:uid="{D3481732-D62F-4718-9713-11F45A227CF6}"/>
    <cellStyle name="PrePop Units (1) 3" xfId="1376" xr:uid="{A397E610-73EE-4E34-941A-DE45C2B4A5B2}"/>
    <cellStyle name="PrePop Units (1)_Bank Recconcile 14 Oct 2016" xfId="3741" xr:uid="{31EAE62E-0AA9-4D9D-B4BB-94F51A3CAAC3}"/>
    <cellStyle name="PrePop Units (2)" xfId="855" xr:uid="{5635C6E5-C2D0-458D-82FD-E52CC3789F2B}"/>
    <cellStyle name="PSChar" xfId="865" xr:uid="{52CC7234-362C-4396-81E1-C7375941BE48}"/>
    <cellStyle name="PSChar 2" xfId="614" xr:uid="{11135D69-1E31-4931-A00B-5B4C2F8917AC}"/>
    <cellStyle name="PSChar 3" xfId="820" xr:uid="{705CF9B2-2689-4BD4-8513-38ED260D075C}"/>
    <cellStyle name="PSChar_QUERY5" xfId="835" xr:uid="{AADD7045-B159-4315-BA8B-D7B08CEFA41B}"/>
    <cellStyle name="PSDate" xfId="694" xr:uid="{8C5AF229-C7CF-44B7-A713-22A21AD24EF1}"/>
    <cellStyle name="PSDate 2" xfId="949" xr:uid="{69CF6EF2-F967-4B77-8831-55357AAA4D65}"/>
    <cellStyle name="PSDate 3" xfId="954" xr:uid="{26447C4F-F4E7-4DB2-A632-B1A8E51F5C59}"/>
    <cellStyle name="PSDec" xfId="709" xr:uid="{AA125EEE-32C7-4D30-9DA8-E77987F6F2D2}"/>
    <cellStyle name="PSDec 2" xfId="853" xr:uid="{AFC26043-64D4-4BF8-8307-A5F4AC6D05E2}"/>
    <cellStyle name="PSDec 3" xfId="623" xr:uid="{A33E82EC-39A2-43AF-8C57-F9C3B4673801}"/>
    <cellStyle name="PSHeading" xfId="913" xr:uid="{B5ACCE76-C5A5-4C63-A056-B8A55D7B5A6C}"/>
    <cellStyle name="PSHeading 2" xfId="934" xr:uid="{B0987F88-CA39-46EB-880E-F8168AA91B0F}"/>
    <cellStyle name="PSHeading 3" xfId="668" xr:uid="{A17FCFE5-B556-4AD7-BA89-16C432545593}"/>
    <cellStyle name="PSInt" xfId="961" xr:uid="{8A0E096D-8F8A-4797-8620-8622CF601A4F}"/>
    <cellStyle name="PSInt 2" xfId="965" xr:uid="{D0F82D54-24B6-4244-860B-0524C640BBB0}"/>
    <cellStyle name="PSInt 3" xfId="964" xr:uid="{A126D1D2-104A-4977-87B2-1C0364F5BFCC}"/>
    <cellStyle name="PSSpacer" xfId="645" xr:uid="{EAA1246B-7857-429E-92F4-A9C55F407997}"/>
    <cellStyle name="PSSpacer 2" xfId="967" xr:uid="{72A251CD-6B83-4A98-A0BF-86E18059A0A6}"/>
    <cellStyle name="PSSpacer 3" xfId="966" xr:uid="{AF08CE1E-7988-4306-B9F4-8168BC91944A}"/>
    <cellStyle name="pwstyle" xfId="968" xr:uid="{769D265F-778C-45FE-B2E4-259DFF603420}"/>
    <cellStyle name="Quantity" xfId="150" xr:uid="{F4F28F37-4CF2-4A4D-ABF4-9A8A66D08779}"/>
    <cellStyle name="Quantity 2" xfId="969" xr:uid="{7BECBBE9-2399-4D36-B817-72B160B9A0B3}"/>
    <cellStyle name="Quantity 2 2" xfId="2242" xr:uid="{315C3961-C31B-425C-AC04-FCB618B6AC58}"/>
    <cellStyle name="Quantity 2 2 2" xfId="2017" xr:uid="{75166BBD-F753-49DD-8381-87F0676C5E35}"/>
    <cellStyle name="Quantity 2 3" xfId="3017" xr:uid="{203CB6C8-E497-423F-B49D-51E93877D5BF}"/>
    <cellStyle name="Quantity 3" xfId="2219" xr:uid="{38EF4324-A9D6-4EC7-8B06-9F71C520D557}"/>
    <cellStyle name="Quantity 3 2" xfId="2724" xr:uid="{D466E6E3-07AF-47A8-8951-B9C8362C17E5}"/>
    <cellStyle name="Quantity 3 3" xfId="4974" xr:uid="{4BC85138-1A8F-4594-87C3-C312E781AC2D}"/>
    <cellStyle name="Quantity 4" xfId="4172" xr:uid="{DE114758-F0D3-4930-AF87-96C1C3234301}"/>
    <cellStyle name="Quantity_Bank Recconcile 14 Oct 2016" xfId="3742" xr:uid="{FC6FEACB-2DD2-45C1-998C-18A6929206DB}"/>
    <cellStyle name="RevList" xfId="663" xr:uid="{B7BE993E-722E-490F-BE3D-270CC1F602FB}"/>
    <cellStyle name="rf0" xfId="5287" xr:uid="{0EC20BD0-A289-43CA-AB09-5F002CC5DC3A}"/>
    <cellStyle name="rf1" xfId="1653" xr:uid="{8F36813B-4807-49AB-9F6A-773E4D9F0ABE}"/>
    <cellStyle name="rf10" xfId="5288" xr:uid="{E7F94C7D-36D2-4043-8421-DD5B9D6D6EE6}"/>
    <cellStyle name="rf11" xfId="5289" xr:uid="{A9508E91-6A80-4884-9BCE-2B80051170A1}"/>
    <cellStyle name="rf12" xfId="5290" xr:uid="{BB4FFBCD-A05B-477A-9629-D0B502461D04}"/>
    <cellStyle name="rf13" xfId="5291" xr:uid="{BA60B048-2784-44AD-855D-33D08C601189}"/>
    <cellStyle name="rf14" xfId="5292" xr:uid="{19AF83B6-6AE4-4078-AB17-0FE5145D5CEE}"/>
    <cellStyle name="rf15" xfId="5293" xr:uid="{3F258D5B-8B31-4768-84AE-374FC9F640F4}"/>
    <cellStyle name="rf16" xfId="5294" xr:uid="{B01D3868-161C-47EE-9344-94203AE2F16A}"/>
    <cellStyle name="rf17" xfId="1655" xr:uid="{283CBA3A-F0AF-49F1-B5F3-AC111F1D2C4B}"/>
    <cellStyle name="rf18" xfId="5295" xr:uid="{E1A8DFBB-80F1-4BF9-8B03-4B417A01E141}"/>
    <cellStyle name="rf19" xfId="5296" xr:uid="{6CCD0886-6E8E-4480-9493-6C9EC30597A2}"/>
    <cellStyle name="rf2" xfId="1656" xr:uid="{F5AB9F45-92DC-4364-919F-4DBDF389873C}"/>
    <cellStyle name="rf20" xfId="5297" xr:uid="{CC76EF10-C96A-4A02-9D18-CB651EA18044}"/>
    <cellStyle name="rf21" xfId="5298" xr:uid="{85E99DA7-40E4-4378-811F-80465395F65F}"/>
    <cellStyle name="rf22" xfId="5299" xr:uid="{29D8534A-B0B0-40FE-9998-018494EA59FD}"/>
    <cellStyle name="rf23" xfId="5300" xr:uid="{46BBE535-FAC7-4A3D-96BB-FC492EED4C41}"/>
    <cellStyle name="rf24" xfId="5301" xr:uid="{18F07524-3579-46B9-BCF4-D80BDDA0106B}"/>
    <cellStyle name="rf25" xfId="5302" xr:uid="{FFB66A3E-450B-43E7-B572-01F62C52769E}"/>
    <cellStyle name="rf26" xfId="5303" xr:uid="{00DA5AAA-8FCF-4AB4-9855-5AAC64FBF381}"/>
    <cellStyle name="rf27" xfId="5304" xr:uid="{4E68FCEA-421D-4103-B132-36E0DA1D4758}"/>
    <cellStyle name="rf3" xfId="1657" xr:uid="{16684D14-146E-407F-982F-C2ED4A49CC42}"/>
    <cellStyle name="rf4" xfId="1660" xr:uid="{42F3DC98-998F-4338-A440-84788AF6DE01}"/>
    <cellStyle name="rf5" xfId="1659" xr:uid="{25212756-E31B-4AF3-B4EF-A312F9B2E772}"/>
    <cellStyle name="rf6" xfId="5305" xr:uid="{259E547D-431D-4243-8C01-9712000A3C8F}"/>
    <cellStyle name="rf7" xfId="5306" xr:uid="{2F713EE3-5FDE-4530-B5FF-859281C44C5E}"/>
    <cellStyle name="rf8" xfId="5307" xr:uid="{5925C809-1517-4545-A23A-D66D403F1E2F}"/>
    <cellStyle name="rf9" xfId="5308" xr:uid="{9223D1BA-823A-40C1-AC88-4F27DD6CFEEF}"/>
    <cellStyle name="s" xfId="402" xr:uid="{BB129F3A-779B-4CA1-89F4-35055A46F741}"/>
    <cellStyle name="Salomon Logo" xfId="151" xr:uid="{77071D9B-BC77-4ED5-9F05-69A9B25A1E8A}"/>
    <cellStyle name="Salomon Logo 2" xfId="403" xr:uid="{33A31E61-AE97-4AE8-83D1-F0A5496A19A8}"/>
    <cellStyle name="Salomon Logo 3" xfId="236" xr:uid="{47B2DAE8-6940-49C9-BBA4-4240BF1B7CAA}"/>
    <cellStyle name="SAPBEXaggData" xfId="1573" xr:uid="{9A867CF1-DD5E-435D-ACEA-34C360039B98}"/>
    <cellStyle name="SAPBEXaggDataEmph" xfId="1574" xr:uid="{A353B8A3-32B4-4C6D-8970-F22483424500}"/>
    <cellStyle name="SAPBEXaggItem" xfId="1575" xr:uid="{25466DA3-7ADA-4609-A84E-560DFDF31082}"/>
    <cellStyle name="SAPBEXchaText" xfId="1576" xr:uid="{641E3549-69EC-484A-9407-CB81AAEA8777}"/>
    <cellStyle name="SAPBEXexcBad7" xfId="1577" xr:uid="{142AD1AF-CB9F-4BBB-9261-9C44394C048D}"/>
    <cellStyle name="SAPBEXexcBad8" xfId="1578" xr:uid="{D1DAF86F-32B1-48D7-B1F6-772FDACAF9CC}"/>
    <cellStyle name="SAPBEXexcBad9" xfId="1579" xr:uid="{11302FE0-6D6B-4AFD-B31B-B8FFA10B3D1D}"/>
    <cellStyle name="SAPBEXexcCritical4" xfId="1580" xr:uid="{8FFB68FF-67D7-4A82-8EED-A0F75E4F507A}"/>
    <cellStyle name="SAPBEXexcCritical5" xfId="1581" xr:uid="{C174C463-FC8E-4733-8EDF-A8AD290F7E99}"/>
    <cellStyle name="SAPBEXexcCritical6" xfId="1582" xr:uid="{3CC2E6A3-745E-4251-BCBB-63A25E7687F3}"/>
    <cellStyle name="SAPBEXexcGood1" xfId="1583" xr:uid="{AB4150C7-A8F2-4E86-9074-1BEECFFFA0A8}"/>
    <cellStyle name="SAPBEXexcGood2" xfId="1584" xr:uid="{671BF348-6FA7-43EB-84EB-D1F05514300C}"/>
    <cellStyle name="SAPBEXexcGood3" xfId="1585" xr:uid="{AC133997-5532-433E-9375-AEC3AFA0CAD4}"/>
    <cellStyle name="SAPBEXfilterDrill" xfId="1586" xr:uid="{8543A67A-92C0-4096-8452-1231C0C0AD4F}"/>
    <cellStyle name="SAPBEXfilterItem" xfId="1587" xr:uid="{ACA7B2F3-EA1B-461D-B021-E1277A148C03}"/>
    <cellStyle name="SAPBEXfilterText" xfId="1588" xr:uid="{2C8DB59F-E6C0-4F48-988E-C25CA2043960}"/>
    <cellStyle name="SAPBEXformats" xfId="1589" xr:uid="{621EDB6F-FED6-4B8F-B123-C57AAAE47FC5}"/>
    <cellStyle name="SAPBEXheaderItem" xfId="1590" xr:uid="{073C7A0D-0252-4B9E-8EAD-0887308D839E}"/>
    <cellStyle name="SAPBEXheaderText" xfId="1591" xr:uid="{68E1B97D-A477-4B3D-B2C9-E39711740709}"/>
    <cellStyle name="SAPBEXresData" xfId="1592" xr:uid="{D35565E8-2593-4B6F-A060-920EA518F479}"/>
    <cellStyle name="SAPBEXresDataEmph" xfId="1593" xr:uid="{E38BEDE1-4B0B-4616-B7B8-E1717CAE18C6}"/>
    <cellStyle name="SAPBEXresItem" xfId="1594" xr:uid="{B4D16644-BA6B-4E29-AFE9-D29B50C45CFB}"/>
    <cellStyle name="SAPBEXstdData" xfId="1595" xr:uid="{58696030-FBD6-41C2-9DE7-70D4693F8372}"/>
    <cellStyle name="SAPBEXstdDataEmph" xfId="1596" xr:uid="{9D4F7D1D-63E9-469D-82D1-651DEED88513}"/>
    <cellStyle name="SAPBEXstdItem" xfId="1597" xr:uid="{4C9AB961-BD58-41BC-AA3C-CDB12C7D9F68}"/>
    <cellStyle name="SAPBEXstdItem 2" xfId="2757" xr:uid="{D4D4F776-767B-4561-9F0C-9B2F47B70619}"/>
    <cellStyle name="SAPBEXstdItem 2 2" xfId="4449" xr:uid="{71B5D0DB-51CD-450B-A04D-857607599196}"/>
    <cellStyle name="SAPBEXstdItem 3" xfId="1949" xr:uid="{E7834DB7-15D7-43FB-98E2-528F47388DFD}"/>
    <cellStyle name="SAPBEXstdItem 3 2" xfId="4206" xr:uid="{8D5EDB7A-6FB0-4E5F-BDE4-4E7DED886054}"/>
    <cellStyle name="SAPBEXtitle" xfId="1598" xr:uid="{F718DE8F-853A-498C-95D6-3F4184FBB2B2}"/>
    <cellStyle name="SAPBEXundefined" xfId="1599" xr:uid="{34400E5C-232D-4CFB-9311-0B33F3463426}"/>
    <cellStyle name="SCH1" xfId="1948" xr:uid="{F48A72CF-50EB-4449-9F49-A112BF18F91F}"/>
    <cellStyle name="SMALL" xfId="971" xr:uid="{E35A0F45-5485-4E77-A7CF-025D4DFAC307}"/>
    <cellStyle name="Standard_9912(4)" xfId="2026" xr:uid="{CF6E9872-693D-449D-AAA0-2F47D4F56AF7}"/>
    <cellStyle name="StandardInput" xfId="468" xr:uid="{758E89DC-05B1-46FE-86C7-F987FD970556}"/>
    <cellStyle name="StandardInput 2" xfId="823" xr:uid="{77DAF550-534E-4F75-A114-0AE217DB1CD3}"/>
    <cellStyle name="STIL1 - Formatvorlage1" xfId="972" xr:uid="{95E0CB2E-4886-4AA0-B14E-974F8504F933}"/>
    <cellStyle name="STIL2 - Formatvorlage2" xfId="973" xr:uid="{2E6423C2-F2D2-4345-9ABD-28E220178C8F}"/>
    <cellStyle name="STIL3 - Formatvorlage3" xfId="974" xr:uid="{D5393FB6-2B3B-4AD7-845B-8D094BE0C005}"/>
    <cellStyle name="STIL4 - Formatvorlage4" xfId="975" xr:uid="{8D2659F7-548D-4049-AB76-852B98426FC2}"/>
    <cellStyle name="Style 1" xfId="404" xr:uid="{6C6C443F-FAEB-4779-891E-563410C49F15}"/>
    <cellStyle name="Style 1 2" xfId="977" xr:uid="{F0066FA5-0FC5-46C6-B67B-3190E9D47A08}"/>
    <cellStyle name="Style 1 2 2" xfId="3744" xr:uid="{EA35B5FB-EC4F-4B63-A04F-EB5055385E05}"/>
    <cellStyle name="Style 1 3" xfId="978" xr:uid="{9A37C420-64B2-43F8-9549-30ED6F0B7B92}"/>
    <cellStyle name="Style 1 4" xfId="3743" xr:uid="{E6FD1811-FE7C-4478-B984-DD067F4138B6}"/>
    <cellStyle name="Style 1 5" xfId="976" xr:uid="{CA002350-C29F-42C9-96E2-089A7B650334}"/>
    <cellStyle name="Style 1 6" xfId="711" xr:uid="{B06EB382-EAD6-4FDB-A1A7-4C2C56D460E1}"/>
    <cellStyle name="Style 1_Bank Recconcile 14 Oct 2016" xfId="3745" xr:uid="{DB1184FB-8814-4B4C-B1B5-FFB22AF117C2}"/>
    <cellStyle name="Style 2" xfId="979" xr:uid="{B4680B12-81F7-4DE0-8483-17730C36F446}"/>
    <cellStyle name="style1" xfId="980" xr:uid="{C574F7AC-CF5A-4483-A869-6A45FD28D505}"/>
    <cellStyle name="style1 2" xfId="1111" xr:uid="{A15C2584-1092-4DE4-91D8-4CED1513E2E7}"/>
    <cellStyle name="SubHeading" xfId="981" xr:uid="{2711DE3E-0056-48BD-BCE1-0CC53FAE905A}"/>
    <cellStyle name="Subtotal" xfId="945" xr:uid="{DEA5DB48-4DAD-42CC-9691-75E89D0BC131}"/>
    <cellStyle name="Subtotal 2" xfId="983" xr:uid="{DEAED81F-571E-46F5-A8E4-9CE8B84307A4}"/>
    <cellStyle name="Subtotal 3" xfId="982" xr:uid="{67AAAE29-0A3C-4B04-B83F-F7F6E5650820}"/>
    <cellStyle name="Table Head" xfId="152" xr:uid="{34B42EEA-0101-44BC-BB42-A07DE2245674}"/>
    <cellStyle name="Table Head 2" xfId="405" xr:uid="{3F6BA961-D8E8-4520-A240-6052EB46AB29}"/>
    <cellStyle name="Table Head 3" xfId="237" xr:uid="{A7E6B88A-BA98-4C94-85BB-9992E3E55582}"/>
    <cellStyle name="Table Source" xfId="153" xr:uid="{EFFC08D8-D886-46E6-B7FF-87F6D6A4F1CE}"/>
    <cellStyle name="Table Source 2" xfId="406" xr:uid="{6DF61C52-8FEA-4F42-B314-47FF57B16A66}"/>
    <cellStyle name="Table Source 3" xfId="238" xr:uid="{50E572A6-E6C2-4DA0-8D94-07E957141331}"/>
    <cellStyle name="Table Text" xfId="154" xr:uid="{15416EB0-C69F-418B-BC46-3E739DF29F74}"/>
    <cellStyle name="Table Text 2" xfId="7331" xr:uid="{D79B79BD-B3F4-40EA-9DC8-73358A3AC42D}"/>
    <cellStyle name="Table Title" xfId="155" xr:uid="{C123E20B-1DF3-46D7-8F21-F47CE49B5E4B}"/>
    <cellStyle name="Table Title 2" xfId="407" xr:uid="{2D21A497-5F7B-4123-9082-6C72F2F8EDA8}"/>
    <cellStyle name="Table Title 3" xfId="240" xr:uid="{109F2632-05F4-4ABF-9E4E-F75F802C80AC}"/>
    <cellStyle name="Table Units" xfId="156" xr:uid="{240332BA-6EB4-485B-A9B9-D4544475D97A}"/>
    <cellStyle name="Table Units 2" xfId="408" xr:uid="{399CA05F-8438-4527-9C89-4A686CEFA601}"/>
    <cellStyle name="Table Units 3" xfId="241" xr:uid="{FA48635E-2E8C-47D8-B4E5-BC6D505459BD}"/>
    <cellStyle name="TB" xfId="984" xr:uid="{90562E86-466C-4199-9534-8A575A924905}"/>
    <cellStyle name="TB 2" xfId="1708" xr:uid="{594D07CC-0EDB-4268-BC26-C4183EE452AF}"/>
    <cellStyle name="TB 2 2" xfId="2220" xr:uid="{581899AB-5883-47CA-8893-43FEE5B5DCAF}"/>
    <cellStyle name="TB 2 3" xfId="2621" xr:uid="{81CF9C8E-1F54-420C-9EB2-7AB745C18AFA}"/>
    <cellStyle name="TB 2 4" xfId="4977" xr:uid="{E6200DE3-AEF4-4E02-AF13-8FFBE3C26083}"/>
    <cellStyle name="TB 3" xfId="4024" xr:uid="{5681F1CF-498D-402C-A811-D91BE01EDD6E}"/>
    <cellStyle name="TED STANDARD" xfId="2027" xr:uid="{99161FD9-3ADA-43C5-9B32-AB34B9A58D68}"/>
    <cellStyle name="Text 1" xfId="157" xr:uid="{127B3091-BFE5-4603-830F-1C3EE69F3151}"/>
    <cellStyle name="Text 1 2" xfId="409" xr:uid="{3E1DB521-3744-4C39-B8F7-FB275C80CC89}"/>
    <cellStyle name="Text 1 3" xfId="242" xr:uid="{07767B50-EA35-4F2C-858A-0558CCD34194}"/>
    <cellStyle name="Text 2" xfId="158" xr:uid="{D5BBF53B-FD49-4015-8981-22B00B78A129}"/>
    <cellStyle name="Text 2 2" xfId="410" xr:uid="{588F2CF0-FB9F-4721-B849-639AC1584CA0}"/>
    <cellStyle name="Text 2 3" xfId="243" xr:uid="{1777C76F-94CA-47D9-B922-F3677ECED317}"/>
    <cellStyle name="Text Head 1" xfId="159" xr:uid="{126AF8B0-5D2E-4297-AD28-C2D9ABEDD8D8}"/>
    <cellStyle name="Text Head 1 2" xfId="411" xr:uid="{9F19FCE5-B6F9-4F85-8372-48B9D1AB262E}"/>
    <cellStyle name="Text Head 1 3" xfId="244" xr:uid="{9ED4745A-4793-4E46-BFD9-B2EB382E9CD4}"/>
    <cellStyle name="Text Head 2" xfId="160" xr:uid="{603C0023-B7C9-4AB7-829C-E24135FE6158}"/>
    <cellStyle name="Text Head 2 2" xfId="412" xr:uid="{284CB89E-A7C9-4618-B70C-2145F98401E4}"/>
    <cellStyle name="Text Head 2 3" xfId="245" xr:uid="{61220663-CF5B-453E-8D6D-6278A6E98359}"/>
    <cellStyle name="Text Indent 1" xfId="161" xr:uid="{11374329-029D-41A5-8735-AE4BA454B992}"/>
    <cellStyle name="Text Indent 1 2" xfId="413" xr:uid="{C65CBE6B-3183-4946-877F-A4A9C9129EA6}"/>
    <cellStyle name="Text Indent 1 3" xfId="246" xr:uid="{D0109948-ABC2-4CF2-AEAA-55D2DEB65F71}"/>
    <cellStyle name="Text Indent 2" xfId="162" xr:uid="{4405F565-9692-4FCF-A97D-AD7EE0EA2B42}"/>
    <cellStyle name="Text Indent 2 2" xfId="414" xr:uid="{AEE82898-D304-4CF7-874B-C8F7B65DF554}"/>
    <cellStyle name="Text Indent 2 3" xfId="247" xr:uid="{AADD3AFF-B950-4103-A347-373C36DE0AF2}"/>
    <cellStyle name="Text Indent A" xfId="947" xr:uid="{E62A04AE-5F57-402A-97EF-5C95919B5C4D}"/>
    <cellStyle name="Text Indent A 2" xfId="1709" xr:uid="{BBE73967-6D1E-4FD1-BF88-3D0BBC465891}"/>
    <cellStyle name="Text Indent B" xfId="652" xr:uid="{A6FF6D6E-AEDD-43BE-ACCE-297B3BD87D12}"/>
    <cellStyle name="Text Indent B 2" xfId="860" xr:uid="{7B9E8498-85FC-4CD5-B876-FAE2A8ED81B2}"/>
    <cellStyle name="Text Indent B 2 2" xfId="1112" xr:uid="{5612075E-4452-40D2-967C-4DDAFF025810}"/>
    <cellStyle name="Text Indent B 2 2 2" xfId="1378" xr:uid="{D13C7FDA-13D1-4C39-A844-6DD0F5D132F2}"/>
    <cellStyle name="Text Indent B 2 3" xfId="1377" xr:uid="{E4B26D08-2969-48D8-973D-76182B46D71C}"/>
    <cellStyle name="Text Indent B 3" xfId="1379" xr:uid="{F5EEC4DB-D862-4FD5-9364-EF80229B1B57}"/>
    <cellStyle name="Text Indent B_Bank Recconcile 14 Oct 2016" xfId="3746" xr:uid="{76627F97-7ADA-4033-91E2-C35FFF0F4A54}"/>
    <cellStyle name="Text Indent C" xfId="683" xr:uid="{A59C9410-A519-455C-BCE2-767FD670CB8F}"/>
    <cellStyle name="Text Indent C 2" xfId="849" xr:uid="{23F9A878-7A2A-44B9-B6FE-E9E9EED93789}"/>
    <cellStyle name="Text Indent C 2 2" xfId="1113" xr:uid="{8407002A-C60A-4803-BB31-EE562E934D8E}"/>
    <cellStyle name="Text Indent C 2 2 2" xfId="1381" xr:uid="{51C9A399-123F-4D0A-AFB6-FBACD9D936A3}"/>
    <cellStyle name="Text Indent C 2 3" xfId="1380" xr:uid="{7281C84D-2D32-46F1-9C3A-04FE452DA3EE}"/>
    <cellStyle name="Text Indent C 3" xfId="1382" xr:uid="{F456E8F7-11A8-48C6-82D9-A6706B5506AB}"/>
    <cellStyle name="Text Indent C_Bank Recconcile 14 Oct 2016" xfId="3747" xr:uid="{C28FAB19-4FAD-473B-96CE-56B5CB34EE14}"/>
    <cellStyle name="TextDisplayOnly" xfId="469" xr:uid="{EED1400A-F40A-418F-AA61-258B0919E420}"/>
    <cellStyle name="TextDisplayOnly 2" xfId="824" xr:uid="{C947CF23-B971-40BF-82DD-79B9EC0862BB}"/>
    <cellStyle name="thousand" xfId="415" xr:uid="{8C9D6EAF-9174-4822-B148-7D73E47DBD41}"/>
    <cellStyle name="Tickmark" xfId="758" xr:uid="{31846336-78FC-46E1-9B2C-37A872E44A22}"/>
    <cellStyle name="Tickmarks" xfId="901" xr:uid="{CB7FB7B5-EB5E-4F73-B983-BFB3AFF1CFB5}"/>
    <cellStyle name="Title 2" xfId="163" xr:uid="{2240BA6D-C476-4851-88B1-DEAF078DDEB9}"/>
    <cellStyle name="Title 2 2" xfId="1385" xr:uid="{A4790B0C-31A3-41DC-8FE5-8AB5803EAD2D}"/>
    <cellStyle name="Title 2 3" xfId="4919" xr:uid="{C9643C87-8B68-44EC-AD4E-89582EFD6DFD}"/>
    <cellStyle name="Title 2 3 2" xfId="6061" xr:uid="{9E31F425-46FC-4DE2-A950-BD5B79713878}"/>
    <cellStyle name="Title 2 4" xfId="3982" xr:uid="{C295E7FD-133A-4C49-8321-25B35EFC33C1}"/>
    <cellStyle name="Title 2 5" xfId="3748" xr:uid="{7F6E36E1-54E7-4780-95D8-421A5350A78E}"/>
    <cellStyle name="Title 2 6" xfId="986" xr:uid="{15CBCC84-A08D-47D6-B247-F973C8FA2B48}"/>
    <cellStyle name="Title 2 7" xfId="7197" xr:uid="{1D4CB175-43E0-4B8C-94CC-96AAB6F90A2D}"/>
    <cellStyle name="Title 3" xfId="252" xr:uid="{28FBA053-BAD9-4961-A6B5-F1B728005E1A}"/>
    <cellStyle name="Title 3 2" xfId="1386" xr:uid="{C71AEF46-6998-4457-A679-8A0733CBF49A}"/>
    <cellStyle name="TMS RMMN" xfId="423" xr:uid="{7BA3963A-3BF0-401A-9BD4-6C7C0C25487F}"/>
    <cellStyle name="TOC 1" xfId="164" xr:uid="{6EC7C3C7-E20F-442D-B2F9-FE9D097E5766}"/>
    <cellStyle name="TOC 1 2" xfId="416" xr:uid="{E14CD0F1-02B5-4A7E-9989-84454EF1941E}"/>
    <cellStyle name="TOC 1 3" xfId="248" xr:uid="{BC701389-BE69-4E59-8B4D-A88E7376B636}"/>
    <cellStyle name="TOC 2" xfId="165" xr:uid="{58CA645D-681F-4688-A871-71ACCC9D4849}"/>
    <cellStyle name="TOC 2 2" xfId="417" xr:uid="{E42E1D90-28B2-4894-9100-A128F1F14E18}"/>
    <cellStyle name="TOC 2 3" xfId="249" xr:uid="{1C351085-E3C5-4C4D-A15D-F51E9306FD49}"/>
    <cellStyle name="Total 2" xfId="166" xr:uid="{2EA4CB51-1F90-47B7-99A0-70E521481961}"/>
    <cellStyle name="Total 2 2" xfId="555" xr:uid="{E622C49B-CA80-4967-A535-990014DF53D9}"/>
    <cellStyle name="Total 2 2 2" xfId="1387" xr:uid="{401801FD-F0C1-481D-AEC8-4A90B7130905}"/>
    <cellStyle name="Total 2 3" xfId="4920" xr:uid="{B23B021D-9FE9-444D-BEB2-05FFFA954F6A}"/>
    <cellStyle name="Total 2 3 2" xfId="6062" xr:uid="{225F6E22-77C6-4D1A-B395-569327FC2857}"/>
    <cellStyle name="Total 2 4" xfId="3983" xr:uid="{1CF0C162-C714-4615-8754-E84877364368}"/>
    <cellStyle name="Total 2 5" xfId="3749" xr:uid="{24B8B5AE-3368-4848-ACCE-A6477803D4F7}"/>
    <cellStyle name="Total 2 6" xfId="988" xr:uid="{55E5E3E5-4C1C-4929-8A15-692DC3B8498B}"/>
    <cellStyle name="Total 3" xfId="487" xr:uid="{AA3C82F5-28FB-4E5B-8070-915F4FFC6653}"/>
    <cellStyle name="Total 3 2" xfId="1388" xr:uid="{0637DA5F-173E-4DDA-B338-47B9062655A3}"/>
    <cellStyle name="Total 4" xfId="7280" xr:uid="{F2B8D87C-BE9D-4AC0-934F-CE8542172F7F}"/>
    <cellStyle name="W" xfId="418" xr:uid="{8F217FA3-1765-46C1-9BFA-E13155DA1E6B}"/>
    <cellStyle name="W?hrung [0]_Tabelle1" xfId="2176" xr:uid="{41BE90F2-3043-4DAA-9C8E-FA45BD1EBEB5}"/>
    <cellStyle name="W?hrung_Tabelle1" xfId="2106" xr:uid="{AAB710FB-C18A-47AB-9C0A-E32635A51B82}"/>
    <cellStyle name="Währung [0]_Tabelle1" xfId="989" xr:uid="{33543DE4-01DE-47BA-9F77-E45F3CB6975A}"/>
    <cellStyle name="Währung_Tabelle1" xfId="990" xr:uid="{26C6D891-398D-4DBB-A5BC-85100F5159AA}"/>
    <cellStyle name="Warning Text 2" xfId="167" xr:uid="{964F134F-28B5-40DD-8A34-4ADE2B74BA6D}"/>
    <cellStyle name="Warning Text 2 2" xfId="556" xr:uid="{F07FCF08-56CD-426C-AA18-AD7C146AA074}"/>
    <cellStyle name="Warning Text 2 2 2" xfId="1389" xr:uid="{3C6A2DC1-CA11-4E2A-AB6A-A8487DC7A10C}"/>
    <cellStyle name="Warning Text 2 3" xfId="4921" xr:uid="{8AEAFD5A-8E5D-44EC-A9C0-70E8456328AA}"/>
    <cellStyle name="Warning Text 2 3 2" xfId="6063" xr:uid="{8CA635B8-045D-4026-A742-C8746F85FE97}"/>
    <cellStyle name="Warning Text 2 4" xfId="3984" xr:uid="{D9A6F036-07FC-483B-803C-B3DFBACBB426}"/>
    <cellStyle name="Warning Text 2 5" xfId="3750" xr:uid="{BC27789B-370C-4DA4-9BF9-59A70D59C6BD}"/>
    <cellStyle name="Warning Text 2 6" xfId="991" xr:uid="{3EF76B06-6B6A-4B6E-AEA5-524A5CCF0E81}"/>
    <cellStyle name="Warning Text 2 7" xfId="7088" xr:uid="{AA2BBB19-92D0-4267-B14E-3DE36D229807}"/>
    <cellStyle name="Warning Text 3" xfId="485" xr:uid="{A3FD3F60-A217-4F5D-830F-57BCA976E672}"/>
    <cellStyle name="Warning Text 3 2" xfId="1390" xr:uid="{B45A07C7-6AF9-42FF-901A-DF8CFA321B0C}"/>
    <cellStyle name="wrap" xfId="2028" xr:uid="{72DC032D-1D36-47A2-8B35-EB5C3433E67E}"/>
    <cellStyle name="ｵﾒﾁ｡ﾒﾃ爼ﾗ靉ﾁ篦ｧﾋﾅﾒﾂﾁﾔｵﾔ" xfId="2029" xr:uid="{CB62C8BD-638D-45BA-A738-67B740BF6D92}"/>
    <cellStyle name="เครื่องหมายเปอร์เซ็นต์_~4510722" xfId="992" xr:uid="{4FBFB1CC-BD8C-4074-AF26-6069AD8FBF96}"/>
    <cellStyle name="เครื่องหมายจุลภาค [0]_~0391937" xfId="1710" xr:uid="{9ECD597C-2A03-45C8-B23C-88D3C6100106}"/>
    <cellStyle name="เครื่องหมายจุลภาค 2" xfId="425" xr:uid="{833267EE-6DD1-4903-B683-44152E9BBDCD}"/>
    <cellStyle name="เครื่องหมายจุลภาค 2 2" xfId="1556" xr:uid="{715C12A6-9D60-41F0-AEDE-8BEBDE4872FA}"/>
    <cellStyle name="เครื่องหมายจุลภาค_~0391937" xfId="1711" xr:uid="{B45BB1B8-6247-4D97-8C24-E41F41106253}"/>
    <cellStyle name="เครื่องหมายสกุลเงิน [0]_~0391937" xfId="1712" xr:uid="{4E683A4E-3970-4887-9AA0-8EFEA793B047}"/>
    <cellStyle name="เครื่องหมายสกุลเงิน_~0391937" xfId="1713" xr:uid="{EC874F77-027D-4029-A64E-1675518F1975}"/>
    <cellStyle name="เชื่อมโยงหลายมิติ" xfId="171" xr:uid="{CBE8A507-5001-4B2D-AE2A-7D2DA2FEB0EA}"/>
    <cellStyle name="เชื่อมโยงหลายมิติ 2" xfId="250" xr:uid="{1484D3B2-E43C-4937-A67D-BEB18E2CD87B}"/>
    <cellStyle name="เชื่อมโยงหลายมิติ 2 2" xfId="4450" xr:uid="{6A529100-9C19-4753-A861-0B36257861D0}"/>
    <cellStyle name="เชื่อมโยงหลายมิติ 2 3" xfId="2693" xr:uid="{68E05969-B505-49CD-A80C-A7C3AC9B00E8}"/>
    <cellStyle name="เชื่อมโยงหลายมิติ 3" xfId="2030" xr:uid="{38854E9A-B74D-4DE9-8972-3F80AE926A0A}"/>
    <cellStyle name="เชื่อมโยงหลายมิติ 3 2" xfId="4131" xr:uid="{5E990CDB-DE79-45FB-AED2-2F0D62679F35}"/>
    <cellStyle name="เชื่อมโยงหลายมิติ 4" xfId="1391" xr:uid="{8364A547-3A70-48A6-9CC7-322830DD956D}"/>
    <cellStyle name="เชื่อมโยงหลายมิติ_~5279731" xfId="2018" xr:uid="{4B48AC3B-6895-4DDA-B5A8-AAD88FA2814F}"/>
    <cellStyle name="เซลล์ตรวจสอบ" xfId="427" xr:uid="{A83B3BEF-A73F-4946-B16A-51C594B5EBEE}"/>
    <cellStyle name="เซลล์ตรวจสอบ 1" xfId="3752" xr:uid="{D029BD3D-B4F0-4FD1-AE1A-AF379AB4C149}"/>
    <cellStyle name="เซลล์ตรวจสอบ 2" xfId="2694" xr:uid="{41756F7D-3D26-484E-AD73-66C3C445EABF}"/>
    <cellStyle name="เซลล์ตรวจสอบ 2 2" xfId="3751" xr:uid="{8EB47930-C183-49E5-BA45-FE9B25702E54}"/>
    <cellStyle name="เซลล์ตรวจสอบ 3" xfId="2031" xr:uid="{598C0ED5-4F74-4DCB-89C7-2E505CAF1449}"/>
    <cellStyle name="เซลล์ตรวจสอบ 4" xfId="4132" xr:uid="{B749E9F6-403C-4B9B-B988-796009166836}"/>
    <cellStyle name="เซลล์ตรวจสอบ 5" xfId="1392" xr:uid="{6AB79BB9-BD54-4674-B92A-45761C8A4808}"/>
    <cellStyle name="เซลล์ตรวจสอบ_10_2553" xfId="3753" xr:uid="{2DA96B3B-A569-4FEB-86AD-159D8497B169}"/>
    <cellStyle name="เซลล์ที่มีการเชื่อมโยง" xfId="428" xr:uid="{4845C2C3-720F-45CC-AF03-210C97C3ACCF}"/>
    <cellStyle name="เซลล์ที่มีการเชื่อมโยง 1" xfId="3755" xr:uid="{80500389-65C5-4126-92AD-E34603B03385}"/>
    <cellStyle name="เซลล์ที่มีการเชื่อมโยง 2" xfId="2695" xr:uid="{47F21C48-C058-45CA-8B6C-2182693FD27E}"/>
    <cellStyle name="เซลล์ที่มีการเชื่อมโยง 2 2" xfId="3754" xr:uid="{E12A024E-3783-415F-A812-FF174E78E299}"/>
    <cellStyle name="เซลล์ที่มีการเชื่อมโยง 3" xfId="2032" xr:uid="{DEC0B449-A51C-4925-9006-AB7213586726}"/>
    <cellStyle name="เซลล์ที่มีการเชื่อมโยง 4" xfId="4133" xr:uid="{64E95CF9-C52A-4734-A238-9C7FABC8174B}"/>
    <cellStyle name="เซลล์ที่มีการเชื่อมโยง 5" xfId="1393" xr:uid="{1170CBC8-E1B8-44C5-8E77-C0A3D481F321}"/>
    <cellStyle name="แย่" xfId="441" xr:uid="{0A04C899-837E-42BD-80CB-494D00C28DB6}"/>
    <cellStyle name="แย่ 1" xfId="3757" xr:uid="{DE7719E5-92B4-44E0-88B6-8047F3575DEB}"/>
    <cellStyle name="แย่ 2" xfId="2696" xr:uid="{E2C7F14B-7BF4-401C-BDB0-27209A487454}"/>
    <cellStyle name="แย่ 2 2" xfId="3756" xr:uid="{BC8C96F2-3E6E-400F-80E4-750642E43457}"/>
    <cellStyle name="แย่ 3" xfId="2033" xr:uid="{D13FF7F0-215F-41AA-80F4-9D279B5643ED}"/>
    <cellStyle name="แย่ 4" xfId="4134" xr:uid="{8FF17324-2EDA-4679-93B1-09CBF45D5F28}"/>
    <cellStyle name="แย่ 5" xfId="1394" xr:uid="{B658F017-F0DB-4CD1-8E15-76B6508D9E68}"/>
    <cellStyle name="แย่_Call Force Status" xfId="3758" xr:uid="{75B4514F-D0ED-4B23-A64F-9D0E9C0572DC}"/>
    <cellStyle name="แสดงผล" xfId="448" xr:uid="{C0A2FBC3-0013-469B-B19A-7DA15D3A2F51}"/>
    <cellStyle name="แสดงผล 1" xfId="3760" xr:uid="{D639958B-3B1A-45CE-B30A-A5F893308614}"/>
    <cellStyle name="แสดงผล 2" xfId="2697" xr:uid="{9CA6F29F-FDD5-44A1-9BC5-0C412704EEBB}"/>
    <cellStyle name="แสดงผล 2 2" xfId="3759" xr:uid="{F1C0A0A9-62C0-4193-B73C-83497D5A1E12}"/>
    <cellStyle name="แสดงผล 3" xfId="2034" xr:uid="{63068F77-58BE-4FEB-87DF-784EF7942887}"/>
    <cellStyle name="แสดงผล 4" xfId="4135" xr:uid="{4FFA69CE-FF95-4461-9E31-2E2659C7E9D5}"/>
    <cellStyle name="แสดงผล 5" xfId="1395" xr:uid="{1E5EBF22-851E-4E4C-B3B9-928C461D5180}"/>
    <cellStyle name="แสดงผล_10_2553" xfId="3761" xr:uid="{75CDA513-B30E-4841-B2E5-1F6BB61999E1}"/>
    <cellStyle name="การคำนวณ" xfId="419" xr:uid="{55840A76-0FE8-4A66-A50B-EF0C94DEE887}"/>
    <cellStyle name="การคำนวณ 1" xfId="3763" xr:uid="{019D2107-C162-4C21-8438-F8BC61345A17}"/>
    <cellStyle name="การคำนวณ 2" xfId="2698" xr:uid="{B61FBFF5-64DA-4B9C-B789-CAD8DF00A979}"/>
    <cellStyle name="การคำนวณ 2 2" xfId="3762" xr:uid="{F5E6DC32-0207-47EA-A31E-F72B255D33C5}"/>
    <cellStyle name="การคำนวณ 3" xfId="2035" xr:uid="{17012E64-4798-4B5F-BBA6-B385A6D62EA5}"/>
    <cellStyle name="การคำนวณ 4" xfId="4136" xr:uid="{3BDBA841-628F-47BA-8B6A-7F2E985143C7}"/>
    <cellStyle name="การคำนวณ 5" xfId="1396" xr:uid="{9F9F7781-DF58-45F9-A7F6-7FEF2F5EB549}"/>
    <cellStyle name="การคำนวณ_10_2553" xfId="3764" xr:uid="{CEF6C86D-CED3-4235-B870-8E746A040FF1}"/>
    <cellStyle name="ข้อความเตือน" xfId="420" xr:uid="{11C29CD4-029C-4C92-85D6-412CCEC642B5}"/>
    <cellStyle name="ข้อความเตือน 1" xfId="3766" xr:uid="{4BF5BECE-A70C-4EDE-92BF-23A991035C0B}"/>
    <cellStyle name="ข้อความเตือน 2" xfId="2699" xr:uid="{8CBDB349-D97C-4DE4-9859-03F8191A72C3}"/>
    <cellStyle name="ข้อความเตือน 2 2" xfId="3765" xr:uid="{6D73AF63-1EC2-44FE-962C-89C0BDF959F5}"/>
    <cellStyle name="ข้อความเตือน 3" xfId="2036" xr:uid="{11F929C2-C853-4701-A1C8-850C9BA4A8BA}"/>
    <cellStyle name="ข้อความเตือน 4" xfId="4137" xr:uid="{81A515B3-9C64-4321-BEFB-4E28631674A4}"/>
    <cellStyle name="ข้อความเตือน 5" xfId="1397" xr:uid="{B6D9FD30-D0FF-41B8-A1FF-0F83A6058703}"/>
    <cellStyle name="ข้อความอธิบาย" xfId="421" xr:uid="{2BFEB603-048D-4167-9FCE-1693EF1A7641}"/>
    <cellStyle name="ข้อความอธิบาย 1" xfId="3768" xr:uid="{31A93962-E63F-4EF2-BF8D-0100B0043D56}"/>
    <cellStyle name="ข้อความอธิบาย 2" xfId="2700" xr:uid="{94C59FBE-53D6-490F-99D8-1C61CED28EEE}"/>
    <cellStyle name="ข้อความอธิบาย 2 2" xfId="3767" xr:uid="{7A08894C-E3E3-4256-BA0E-960DBAD48BB9}"/>
    <cellStyle name="ข้อความอธิบาย 3" xfId="2037" xr:uid="{EF62CCF4-A54B-4650-BEA5-810DFC5E2A13}"/>
    <cellStyle name="ข้อความอธิบาย 4" xfId="4138" xr:uid="{7F8E63C4-D51F-4076-AD14-081413DB434C}"/>
    <cellStyle name="ข้อความอธิบาย 5" xfId="1398" xr:uid="{260EBE0D-E96E-4C37-9B7E-14AAA86B761F}"/>
    <cellStyle name="ค@ฏ๋_1111D2111DQ2" xfId="168" xr:uid="{460EA59C-21B8-4EEE-B867-59EC96A16243}"/>
    <cellStyle name="คdคภฆ์[0]_1111D2111DQ2" xfId="169" xr:uid="{7E1D27CB-FFC3-40AF-96D4-94D1C6DB09E2}"/>
    <cellStyle name="คdคภฆ์_1111D2111DQ1" xfId="170" xr:uid="{B0E44C9F-D462-4D37-A467-0B969465EC71}"/>
    <cellStyle name="ชื่อเรื่อง" xfId="426" xr:uid="{D62FE7A8-169F-435D-835D-B97D7341FC6C}"/>
    <cellStyle name="ชื่อเรื่อง 1" xfId="3770" xr:uid="{8062B94C-2100-40EB-8BA2-3F9B0A39F337}"/>
    <cellStyle name="ชื่อเรื่อง 2" xfId="2701" xr:uid="{29B801E8-0BE3-4E92-BF04-87F0311D607D}"/>
    <cellStyle name="ชื่อเรื่อง 2 2" xfId="3769" xr:uid="{806D615A-5F39-42AC-9818-A3CFBF6F2145}"/>
    <cellStyle name="ชื่อเรื่อง 3" xfId="2038" xr:uid="{ABFC91C3-C104-4045-AC08-0CAFEC4B9140}"/>
    <cellStyle name="ชื่อเรื่อง 4" xfId="4139" xr:uid="{AA988178-AB96-453E-8694-5E9DE5388D89}"/>
    <cellStyle name="ชื่อเรื่อง 5" xfId="1399" xr:uid="{EB57BE17-4D0A-41CC-BAC0-581A9CEAFDF2}"/>
    <cellStyle name="ชื่อเรื่อง_10_2553" xfId="3771" xr:uid="{11AC8049-C2DA-4C93-9CA5-32882A3A316E}"/>
    <cellStyle name="ณfน๔ [0]_Book1" xfId="172" xr:uid="{EF251F78-BF55-4A40-9A22-61C4829577BE}"/>
    <cellStyle name="ณfน๔_Book1" xfId="173" xr:uid="{A46543EF-DCDA-48B9-A98B-9701A518CCA8}"/>
    <cellStyle name="ดี" xfId="431" xr:uid="{C4DB4C29-EA73-493C-989A-F9678AE1ECDF}"/>
    <cellStyle name="ดี 1" xfId="3773" xr:uid="{ED9B2577-A2A8-43D5-9441-40F0C513C1B0}"/>
    <cellStyle name="ดี 2" xfId="2702" xr:uid="{DA601D53-F50F-48A1-AF77-5AFB21560F91}"/>
    <cellStyle name="ดี 2 2" xfId="3772" xr:uid="{2A9E2FB1-C99F-453A-A1D0-CCB8A5F0F12F}"/>
    <cellStyle name="ดี 3" xfId="2039" xr:uid="{7F9BF6C3-5B95-4989-8C05-995D0493035A}"/>
    <cellStyle name="ดี 4" xfId="4140" xr:uid="{B173167A-8E43-4A1C-B24D-2E6603C146B6}"/>
    <cellStyle name="ดี 5" xfId="1400" xr:uid="{15282CA5-B5A4-4FB8-B4B5-D7815CEC8354}"/>
    <cellStyle name="ตามการเชื่อมโยงหลายมิติ" xfId="174" xr:uid="{5E87B6E0-CCB6-49DF-99DC-951211FA222B}"/>
    <cellStyle name="ตามการเชื่อมโยงหลายมิติ 2" xfId="251" xr:uid="{DD211D54-86B8-4E85-8016-EB68C6F6DEEC}"/>
    <cellStyle name="ตามการเชื่อมโยงหลายมิติ 2 2" xfId="4451" xr:uid="{A285DEFB-35D1-4D62-8B3A-450E0FDEE197}"/>
    <cellStyle name="ตามการเชื่อมโยงหลายมิติ 2 3" xfId="2703" xr:uid="{EA2B0066-7B92-41A6-81B8-E6915F172E82}"/>
    <cellStyle name="ตามการเชื่อมโยงหลายมิติ 3" xfId="2040" xr:uid="{1F8C0435-36D7-46ED-9A26-63F544BFDE1C}"/>
    <cellStyle name="ตามการเชื่อมโยงหลายมิติ 3 2" xfId="4141" xr:uid="{CC322F2F-3E61-436B-91A4-12C63D269A7A}"/>
    <cellStyle name="ตามการเชื่อมโยงหลายมิติ 4" xfId="1401" xr:uid="{8E4509AD-2F27-4BD0-B3E0-8A18C98505E9}"/>
    <cellStyle name="ตามการเชื่อมโยงหลายมิติ_~5279731" xfId="2019" xr:uid="{03DE8230-E488-4F1A-A09D-7F0769BF9850}"/>
    <cellStyle name="น้บะภฒ_95" xfId="993" xr:uid="{3498DBE5-9A9F-439F-83E8-0ED843D2A595}"/>
    <cellStyle name="ปกติ 10" xfId="1611" xr:uid="{6BBDC04B-45D6-4891-B93B-E391998C5542}"/>
    <cellStyle name="ปกติ 2" xfId="433" xr:uid="{5A76D9C0-27CF-4080-A544-A5FB1697CE3F}"/>
    <cellStyle name="ปกติ 2 2" xfId="1563" xr:uid="{74C9AD5E-A72B-43CD-A3C5-47FD4CEC1A87}"/>
    <cellStyle name="ปกติ 2 2 2" xfId="1610" xr:uid="{C6E3B945-7A89-428A-844E-5A67BBB6ECF2}"/>
    <cellStyle name="ปกติ 3" xfId="434" xr:uid="{A8F3C5C5-FF39-4F64-8676-3E2C61DF4741}"/>
    <cellStyle name="ปกติ 3 2" xfId="1605" xr:uid="{A9B917B3-B5E4-4D13-9986-B3335C56353E}"/>
    <cellStyle name="ปกติ 3 3" xfId="1557" xr:uid="{7BE3AF9A-CC27-419D-A3F1-C7C8E7A173D9}"/>
    <cellStyle name="ปกติ 4" xfId="435" xr:uid="{6F15BB71-BD65-4D2D-AD20-DE29A762A67C}"/>
    <cellStyle name="ปกติ 5" xfId="436" xr:uid="{9203F556-A7EC-4AB0-B0BE-74D074625D43}"/>
    <cellStyle name="ปกติ 6 2" xfId="1431" xr:uid="{B97B7A15-8E8A-4824-A8C6-CE9CAB394307}"/>
    <cellStyle name="ปกติ_~0391937" xfId="1714" xr:uid="{15A112DD-65AD-438F-ABA7-0194F9E158F0}"/>
    <cellStyle name="ป้อนค่า" xfId="438" xr:uid="{21E6A19D-E281-488C-BC93-5BBEE89335CD}"/>
    <cellStyle name="ป้อนค่า 1" xfId="3775" xr:uid="{36CD64F6-1362-42E8-8240-A1F1868B8E80}"/>
    <cellStyle name="ป้อนค่า 2" xfId="2704" xr:uid="{B23FFB09-3AF1-4281-849B-23A867DD6610}"/>
    <cellStyle name="ป้อนค่า 2 2" xfId="3774" xr:uid="{2AF4927C-1CDE-4544-92E1-E6B6B1362D47}"/>
    <cellStyle name="ป้อนค่า 3" xfId="2041" xr:uid="{238E90BB-6DF4-4623-89AA-6961031EB8C6}"/>
    <cellStyle name="ป้อนค่า 4" xfId="4142" xr:uid="{7E201D36-32B5-4CB3-B0C5-C521AF9C3330}"/>
    <cellStyle name="ป้อนค่า 5" xfId="1402" xr:uid="{835475AF-DE12-4D1E-99DB-A588BA457F10}"/>
    <cellStyle name="ป้อนค่า_10_2553" xfId="3776" xr:uid="{CD07A7E6-EE43-4E8D-A3D3-7CB1B87B3165}"/>
    <cellStyle name="ปานกลาง" xfId="439" xr:uid="{93D90A4C-E528-4F6E-AAA0-8406C1E2997D}"/>
    <cellStyle name="ปานกลาง 1" xfId="3778" xr:uid="{F5B43D73-A077-4B0B-BA37-AF90C35861B4}"/>
    <cellStyle name="ปานกลาง 2" xfId="2705" xr:uid="{F1955D6C-E155-40D3-8A54-170C2235F8BE}"/>
    <cellStyle name="ปานกลาง 2 2" xfId="3777" xr:uid="{4EB70960-568C-423C-9175-FA43103A9C2D}"/>
    <cellStyle name="ปานกลาง 3" xfId="2042" xr:uid="{9FAD4F2D-474C-4362-ACE4-E258FCA00947}"/>
    <cellStyle name="ปานกลาง 4" xfId="4143" xr:uid="{45B49661-0046-4468-A117-AFCE78EE775D}"/>
    <cellStyle name="ปานกลาง 5" xfId="1403" xr:uid="{4923EB74-BF93-44A0-9DBB-C9A812052942}"/>
    <cellStyle name="ผลรวม" xfId="440" xr:uid="{D57CA736-2297-4ABE-8224-D58545CF426E}"/>
    <cellStyle name="ผลรวม 1" xfId="3780" xr:uid="{517B0553-2868-4518-B47D-FB80B2F345D4}"/>
    <cellStyle name="ผลรวม 2" xfId="2706" xr:uid="{E172E352-AF88-47BF-ADE4-D3AEADB282D3}"/>
    <cellStyle name="ผลรวม 2 2" xfId="3779" xr:uid="{0556EA3B-3274-4C02-B2E6-1F7B28CE7F81}"/>
    <cellStyle name="ผลรวม 3" xfId="2043" xr:uid="{87A38425-2844-4073-8E00-DE976FE767A0}"/>
    <cellStyle name="ผลรวม 4" xfId="4144" xr:uid="{E592A15F-1620-45F2-B406-4E3CD1D00927}"/>
    <cellStyle name="ผลรวม 5" xfId="1404" xr:uid="{86E57785-8DB5-49E5-AD12-87AFB1CA08E5}"/>
    <cellStyle name="ฤ?ธถ [0]_95" xfId="2044" xr:uid="{EFF5871D-6A29-4BC4-86E2-D3046523B410}"/>
    <cellStyle name="ฤ?ธถ_95" xfId="2045" xr:uid="{E06D3697-D393-4EFD-808A-F4EA5397A4BE}"/>
    <cellStyle name="ฤธถ [0]_95" xfId="994" xr:uid="{4CE230AF-2884-453D-9A7F-489EA146187C}"/>
    <cellStyle name="ฤธถ_95" xfId="995" xr:uid="{0215FF27-1E7C-4512-BA9F-54C43662917D}"/>
    <cellStyle name="ลวดลาย_CONSOL DEC.38 (2)" xfId="996" xr:uid="{C8F2599C-AAEC-40E0-8805-BA26DB6134D6}"/>
    <cellStyle name="ล๋ศญ [0]_95" xfId="997" xr:uid="{A402D443-1336-478C-AFFB-B2547F63509B}"/>
    <cellStyle name="ล๋ศญ_95" xfId="998" xr:uid="{E55C0837-82B3-4F71-82C4-5E93D212FE5D}"/>
    <cellStyle name="วฅมุ_4ฟ๙ฝวภ๛" xfId="999" xr:uid="{47AFDC31-F360-4DC9-B07A-46EBF983E45C}"/>
    <cellStyle name="ส่วนที่ถูกเน้น1" xfId="442" xr:uid="{506D6374-F8D8-4C56-A65B-DF97D67F26D0}"/>
    <cellStyle name="ส่วนที่ถูกเน้น1 1" xfId="3782" xr:uid="{843FE575-4D6A-47ED-84ED-C56D8CC44EAA}"/>
    <cellStyle name="ส่วนที่ถูกเน้น1 2" xfId="2707" xr:uid="{180B4702-21EB-4C55-A1A8-F5FD4383CAE1}"/>
    <cellStyle name="ส่วนที่ถูกเน้น1 2 2" xfId="3781" xr:uid="{9A056BC0-A4D6-4193-9308-344645F8F12B}"/>
    <cellStyle name="ส่วนที่ถูกเน้น1 3" xfId="2046" xr:uid="{DFD8916E-C342-4185-B3D1-FB60AB479F61}"/>
    <cellStyle name="ส่วนที่ถูกเน้น1 4" xfId="4145" xr:uid="{C80BB5C5-3627-47EB-9DB5-B4B6B5A92178}"/>
    <cellStyle name="ส่วนที่ถูกเน้น1 5" xfId="1405" xr:uid="{5A1A91CC-A5EE-4E37-87EF-F2B209E11CBE}"/>
    <cellStyle name="ส่วนที่ถูกเน้น1_10_2553" xfId="3783" xr:uid="{55B594EF-493E-439E-8829-C585DF7EFE06}"/>
    <cellStyle name="ส่วนที่ถูกเน้น2" xfId="443" xr:uid="{271B560C-49CF-4EAD-88F3-286F2C6F0403}"/>
    <cellStyle name="ส่วนที่ถูกเน้น2 1" xfId="3785" xr:uid="{E5949AE2-1ABC-4400-9EF0-AF4904CF2C4D}"/>
    <cellStyle name="ส่วนที่ถูกเน้น2 2" xfId="2708" xr:uid="{1CCCD4FC-FDAA-410C-9301-6155833AC34E}"/>
    <cellStyle name="ส่วนที่ถูกเน้น2 2 2" xfId="3784" xr:uid="{257FF883-C55F-4276-846F-EB8F032DEADE}"/>
    <cellStyle name="ส่วนที่ถูกเน้น2 3" xfId="2047" xr:uid="{42E93F87-11EA-4840-8E3B-869B1370DD6A}"/>
    <cellStyle name="ส่วนที่ถูกเน้น2 4" xfId="4146" xr:uid="{72A81636-6F89-420D-9FDE-0AE1E888AA7E}"/>
    <cellStyle name="ส่วนที่ถูกเน้น2 5" xfId="1406" xr:uid="{0E85402E-BB33-4790-8B3A-9E0F60E33448}"/>
    <cellStyle name="ส่วนที่ถูกเน้น3" xfId="444" xr:uid="{788541A1-9797-4D3E-9904-1E6B337D3B8C}"/>
    <cellStyle name="ส่วนที่ถูกเน้น3 1" xfId="3787" xr:uid="{56DD460B-CEB2-4582-9CC0-3932A0FD9DE6}"/>
    <cellStyle name="ส่วนที่ถูกเน้น3 2" xfId="2709" xr:uid="{9ABDE37A-8B1F-435B-AA3A-5C02675D9D21}"/>
    <cellStyle name="ส่วนที่ถูกเน้น3 2 2" xfId="3786" xr:uid="{DE57A70E-B86A-4CC7-BE35-0E7DB98B7B6E}"/>
    <cellStyle name="ส่วนที่ถูกเน้น3 3" xfId="2048" xr:uid="{1B8CBA5E-2601-4809-9613-6054707A8B77}"/>
    <cellStyle name="ส่วนที่ถูกเน้น3 4" xfId="4147" xr:uid="{01A287CF-B9E5-4470-B4BF-91C8E19E8755}"/>
    <cellStyle name="ส่วนที่ถูกเน้น3 5" xfId="1407" xr:uid="{1512AA7A-8BF1-4388-B21D-E08274F6A568}"/>
    <cellStyle name="ส่วนที่ถูกเน้น3_Call Force Status" xfId="3788" xr:uid="{899F461A-A4CC-43EC-AF64-5B70937641FB}"/>
    <cellStyle name="ส่วนที่ถูกเน้น4" xfId="445" xr:uid="{0E54DE7E-B625-4F1B-9550-ACE9B9DB31CC}"/>
    <cellStyle name="ส่วนที่ถูกเน้น4 1" xfId="3790" xr:uid="{EEF2FAC9-CBB0-47B1-BAFF-E5E6F7EBDDB8}"/>
    <cellStyle name="ส่วนที่ถูกเน้น4 2" xfId="2710" xr:uid="{5B05FD15-7C5B-4B0E-AB30-7F5906D24332}"/>
    <cellStyle name="ส่วนที่ถูกเน้น4 2 2" xfId="3789" xr:uid="{1206E802-2012-4D65-BC07-C4A2A8044CC9}"/>
    <cellStyle name="ส่วนที่ถูกเน้น4 3" xfId="2049" xr:uid="{4A139108-31F9-45F3-BD5E-E938D2861108}"/>
    <cellStyle name="ส่วนที่ถูกเน้น4 4" xfId="4148" xr:uid="{2C05E568-29EB-4D66-960F-7D530A605635}"/>
    <cellStyle name="ส่วนที่ถูกเน้น4 5" xfId="1408" xr:uid="{F855BF7E-3884-4726-93A8-BAD1DBF6821D}"/>
    <cellStyle name="ส่วนที่ถูกเน้น4_10_2553" xfId="3791" xr:uid="{23C032C1-29A3-40FF-BB0D-482857C404A0}"/>
    <cellStyle name="ส่วนที่ถูกเน้น5" xfId="446" xr:uid="{4A17F080-CD4E-40EE-A669-549296DCB971}"/>
    <cellStyle name="ส่วนที่ถูกเน้น5 1" xfId="3793" xr:uid="{577C4968-44E2-4433-8BEA-B1D1916355D9}"/>
    <cellStyle name="ส่วนที่ถูกเน้น5 2" xfId="2711" xr:uid="{D1BE1725-5380-4312-BD26-0E8FA10B3AFC}"/>
    <cellStyle name="ส่วนที่ถูกเน้น5 2 2" xfId="3792" xr:uid="{56AB12B0-9858-4C30-BECE-25BDD62C3772}"/>
    <cellStyle name="ส่วนที่ถูกเน้น5 3" xfId="2050" xr:uid="{3D693628-54EB-4885-B938-9FD78484FBA0}"/>
    <cellStyle name="ส่วนที่ถูกเน้น5 4" xfId="4149" xr:uid="{6A26AE1B-0EB8-4240-9C3E-B2D413FE7D6C}"/>
    <cellStyle name="ส่วนที่ถูกเน้น5 5" xfId="1409" xr:uid="{AE9AAAB3-F5DF-44D6-9BE3-90398CCE78C3}"/>
    <cellStyle name="ส่วนที่ถูกเน้น6" xfId="447" xr:uid="{4DF4E458-5403-492F-84E8-2B17EDEDD3C5}"/>
    <cellStyle name="ส่วนที่ถูกเน้น6 1" xfId="3795" xr:uid="{6510FC62-E8AF-435C-BB70-7C1908B5DFCA}"/>
    <cellStyle name="ส่วนที่ถูกเน้น6 2" xfId="2712" xr:uid="{614FDA8F-1423-4985-8E46-675D2C689AAC}"/>
    <cellStyle name="ส่วนที่ถูกเน้น6 2 2" xfId="3794" xr:uid="{38C25833-3201-40BA-8E8B-D05D39C2A5C6}"/>
    <cellStyle name="ส่วนที่ถูกเน้น6 3" xfId="2051" xr:uid="{015A08C7-928D-4954-BD59-A4C8303E960F}"/>
    <cellStyle name="ส่วนที่ถูกเน้น6 4" xfId="4150" xr:uid="{AD131A17-C5F2-429E-960C-FEFC9BADCB8E}"/>
    <cellStyle name="ส่วนที่ถูกเน้น6 5" xfId="1410" xr:uid="{23CD766D-5B1F-4DD7-AB3C-84AE530D589A}"/>
    <cellStyle name="ส่วนที่ถูกเน้น6_10_2553" xfId="3796" xr:uid="{9F71D918-C0C6-4D08-9727-CD4C89726CE7}"/>
    <cellStyle name="หมายเหตุ" xfId="449" xr:uid="{BA9AA199-5C9B-4A7B-8F4B-6F79043AAA5C}"/>
    <cellStyle name="หมายเหตุ 1" xfId="3798" xr:uid="{E9731DE3-2852-459E-92A3-67F62AA9CD53}"/>
    <cellStyle name="หมายเหตุ 1 2" xfId="3799" xr:uid="{73895FE5-3B59-404D-B3B0-71EF285D96B7}"/>
    <cellStyle name="หมายเหตุ 1 3" xfId="3800" xr:uid="{8D3B3214-388F-4695-92DA-D67D0569F6DB}"/>
    <cellStyle name="หมายเหตุ 1 4" xfId="3801" xr:uid="{7BD2FF93-46BB-472B-BD3B-FD4AC4A48939}"/>
    <cellStyle name="หมายเหตุ 1 5" xfId="3802" xr:uid="{72448601-63CE-4D3B-924E-5D4EE66C0647}"/>
    <cellStyle name="หมายเหตุ 1_Bank Recconcile 14 Oct 2016" xfId="3803" xr:uid="{ADC50158-D183-44D2-B8EA-8E720FA959BA}"/>
    <cellStyle name="หมายเหตุ 10" xfId="4976" xr:uid="{352CAA6E-D725-460A-9388-EDE07208973A}"/>
    <cellStyle name="หมายเหตุ 11" xfId="1411" xr:uid="{A6EB1309-7F9A-4F41-87AF-C11898214861}"/>
    <cellStyle name="หมายเหตุ 12" xfId="7034" xr:uid="{53783B64-685C-493A-8575-50522938FACF}"/>
    <cellStyle name="หมายเหตุ 13" xfId="7069" xr:uid="{E22BE9C6-0B1C-41EF-9E55-9E530D1E249C}"/>
    <cellStyle name="หมายเหตุ 14" xfId="7012" xr:uid="{5427818D-94EA-4E72-BD3F-CE78BF30895C}"/>
    <cellStyle name="หมายเหตุ 15" xfId="7171" xr:uid="{6E78C771-0066-4446-93A3-A52A8D6D5182}"/>
    <cellStyle name="หมายเหตุ 16" xfId="7282" xr:uid="{9932DE02-4B2D-42C2-B59B-41317DFA9802}"/>
    <cellStyle name="หมายเหตุ 17" xfId="7264" xr:uid="{116DD10C-7332-4321-B161-D16EB6C122B1}"/>
    <cellStyle name="หมายเหตุ 18" xfId="7235" xr:uid="{839AC8E9-3674-401B-916D-D2A20CB4859E}"/>
    <cellStyle name="หมายเหตุ 19" xfId="7042" xr:uid="{2A658E65-26F7-47DF-9F7B-29AD010E459A}"/>
    <cellStyle name="หมายเหตุ 2" xfId="2713" xr:uid="{7524DD05-D61F-44E1-AFE4-283B396F74CD}"/>
    <cellStyle name="หมายเหตุ 2 2" xfId="3804" xr:uid="{EBF72AA2-D622-44C5-A569-0DBB9316A5A2}"/>
    <cellStyle name="หมายเหตุ 3" xfId="2052" xr:uid="{0FF39EA8-C996-423D-B2DC-AE0191B2F273}"/>
    <cellStyle name="หมายเหตุ 3 2" xfId="3805" xr:uid="{630F063A-CCC7-4D7D-8856-821DF580AA60}"/>
    <cellStyle name="หมายเหตุ 4" xfId="3806" xr:uid="{B8C5908D-7399-4397-812A-A5989E71E0E3}"/>
    <cellStyle name="หมายเหตุ 5" xfId="3807" xr:uid="{3F62CD83-F81D-44AD-8AC4-991B1881B382}"/>
    <cellStyle name="หมายเหตุ 6" xfId="3797" xr:uid="{A4F9980F-5D95-4A0B-8133-716A74CDDE5F}"/>
    <cellStyle name="หมายเหตุ 7" xfId="4452" xr:uid="{7C68053C-D2FE-43C5-A56C-5E3193130B0D}"/>
    <cellStyle name="หมายเหตุ 8" xfId="4151" xr:uid="{47FB089B-62BA-47FB-9D10-AC1D173C9641}"/>
    <cellStyle name="หมายเหตุ 9" xfId="4420" xr:uid="{096FED5C-017E-42DC-A089-B4C59EA7CDE4}"/>
    <cellStyle name="หมายเหตุ_10_2553" xfId="3808" xr:uid="{D2BD2B7D-DFEF-4F75-8662-74E6EA3F6862}"/>
    <cellStyle name="หัวเรื่อง 1" xfId="450" xr:uid="{6B44CF55-5260-4D3C-9F70-85EB987A30FC}"/>
    <cellStyle name="หัวเรื่อง 1 1" xfId="3810" xr:uid="{0B5FFED2-7958-428B-8E2F-C570BDADF140}"/>
    <cellStyle name="หัวเรื่อง 1 2" xfId="2714" xr:uid="{92C4EFA4-FB21-4682-8597-1AA3ACE1C4B5}"/>
    <cellStyle name="หัวเรื่อง 1 2 2" xfId="3809" xr:uid="{AD5DE03E-CAB4-4FEA-8E21-73C358689EB3}"/>
    <cellStyle name="หัวเรื่อง 1 3" xfId="2053" xr:uid="{4D4AC2FC-1DE8-4469-A2E9-CCE31562DCD1}"/>
    <cellStyle name="หัวเรื่อง 1 4" xfId="4152" xr:uid="{2202AA53-6C5B-4040-877B-18A5024DA5ED}"/>
    <cellStyle name="หัวเรื่อง 1 5" xfId="1412" xr:uid="{477FA21B-626E-41C5-8F9E-45E7E63D4B29}"/>
    <cellStyle name="หัวเรื่อง 1_10_2553" xfId="3811" xr:uid="{E0DE382B-3B5A-4123-8FD5-CFA122A0E2C0}"/>
    <cellStyle name="หัวเรื่อง 2" xfId="451" xr:uid="{7A861060-D8FB-438A-A47E-EAF187B86CC9}"/>
    <cellStyle name="หัวเรื่อง 2 1" xfId="3813" xr:uid="{24DB61A5-1F7D-442B-B929-0E12F5FBBD9A}"/>
    <cellStyle name="หัวเรื่อง 2 2" xfId="2715" xr:uid="{52BBC2C4-74C6-4679-A76E-D7CCC14BD6CB}"/>
    <cellStyle name="หัวเรื่อง 2 2 2" xfId="3812" xr:uid="{BE9A5C76-358F-4F95-B945-D9F9E2364999}"/>
    <cellStyle name="หัวเรื่อง 2 3" xfId="2054" xr:uid="{02E0DC72-C9E9-4CC2-891C-8B4B56905A12}"/>
    <cellStyle name="หัวเรื่อง 2 4" xfId="4153" xr:uid="{EF90D1C2-E5D9-4F3B-A15C-E07DDF241478}"/>
    <cellStyle name="หัวเรื่อง 2 5" xfId="1413" xr:uid="{054ABC17-B06E-4B13-9F51-B6770F9EAE2C}"/>
    <cellStyle name="หัวเรื่อง 2_10_2553" xfId="3814" xr:uid="{942A8AB0-EBC0-4AAE-837E-8FEDC124D6DF}"/>
    <cellStyle name="หัวเรื่อง 3" xfId="452" xr:uid="{90247391-86AE-4447-9E78-7D1DC48C553A}"/>
    <cellStyle name="หัวเรื่อง 3 1" xfId="3816" xr:uid="{D0FE9D1C-B8B5-47FE-9B6D-1137013269A8}"/>
    <cellStyle name="หัวเรื่อง 3 2" xfId="2716" xr:uid="{A3473C09-3BE3-42E5-908E-205B35AFEDB3}"/>
    <cellStyle name="หัวเรื่อง 3 2 2" xfId="3815" xr:uid="{F6950943-821D-4762-ABCA-9DB7F345BD0A}"/>
    <cellStyle name="หัวเรื่อง 3 3" xfId="2055" xr:uid="{A7EE2F94-D7B6-4F59-B602-0E8A030EF805}"/>
    <cellStyle name="หัวเรื่อง 3 4" xfId="4154" xr:uid="{230ED676-D6F6-4D86-B37E-682D823D5297}"/>
    <cellStyle name="หัวเรื่อง 3 5" xfId="1414" xr:uid="{9B8DB072-17B5-4A3A-942C-D4B70CC19004}"/>
    <cellStyle name="หัวเรื่อง 3_10_2553" xfId="3817" xr:uid="{E1CD3DDC-CD21-4F6D-8AE7-FB6789C9C233}"/>
    <cellStyle name="หัวเรื่อง 4" xfId="453" xr:uid="{43BD5592-EF92-4A9A-B1E6-058521667B21}"/>
    <cellStyle name="หัวเรื่อง 4 1" xfId="3819" xr:uid="{AC5DB959-2B4B-4CA4-BAF6-E07B76D84FA9}"/>
    <cellStyle name="หัวเรื่อง 4 2" xfId="2717" xr:uid="{F1C370A7-18B0-414D-8904-F4215466C271}"/>
    <cellStyle name="หัวเรื่อง 4 2 2" xfId="3818" xr:uid="{845495AE-6DBE-4A5A-BE56-7A588238B152}"/>
    <cellStyle name="หัวเรื่อง 4 3" xfId="2056" xr:uid="{DEA963B8-BE04-4EA3-A871-3BE8C9CD3963}"/>
    <cellStyle name="หัวเรื่อง 4 4" xfId="4155" xr:uid="{9C316C78-4F24-44C6-BDD3-634636BCF10D}"/>
    <cellStyle name="หัวเรื่อง 4 5" xfId="1415" xr:uid="{40109A66-E2BA-4692-AD01-1C86B0C2B08E}"/>
    <cellStyle name="หัวเรื่อง 4_10_2553" xfId="3820" xr:uid="{E6F47FD2-5D96-4DA5-B6A9-BBACCF658DB5}"/>
    <cellStyle name="콤마 [0]_Book2" xfId="1600" xr:uid="{691AE8B1-8F8A-40B6-9B94-BBE6B3937B74}"/>
    <cellStyle name="콤마_Book2" xfId="1601" xr:uid="{FC89F99E-2392-4A9F-8B69-478669DCFFFB}"/>
    <cellStyle name="표준_kr_ga_converted_for hsbaek0702_EVENING" xfId="952" xr:uid="{ED5E5A5D-3223-4AF5-AFDD-58CF95A2CD38}"/>
    <cellStyle name="一般_0006(1)" xfId="2057" xr:uid="{2FA8A1C0-8310-497A-BFF4-743C60CFFB23}"/>
    <cellStyle name="千位分隔_10原料汇总" xfId="1001" xr:uid="{80EA9FF5-5FC4-4B72-883D-C4F2FA492716}"/>
    <cellStyle name="千分位[0]_LC (2)" xfId="2058" xr:uid="{6E37B6E5-8FB6-4559-8C13-2CF55CB85D66}"/>
    <cellStyle name="千分位_LC (2)" xfId="2059" xr:uid="{33BA18E2-96A1-4FD2-997A-0F07F8148BA6}"/>
    <cellStyle name="后继超级链接" xfId="1002" xr:uid="{E326ADC0-3F23-4F76-B96D-B12BB4D43ECF}"/>
    <cellStyle name="常规_03-三表 (1)" xfId="1003" xr:uid="{1EBC44E5-2912-4E74-BA43-382AB77DD60F}"/>
    <cellStyle name="未定義" xfId="2060" xr:uid="{8EFDDA45-A0FA-490D-B4C1-4BA4EFC4CFBB}"/>
    <cellStyle name="桁区切り [0.00]_laroux" xfId="1004" xr:uid="{648DFD3E-788C-4B78-BB86-B41F62F3EE1D}"/>
    <cellStyle name="桁区切り_BOM_Apr02" xfId="1005" xr:uid="{0791FAF2-7527-4A39-A711-47C549631B0D}"/>
    <cellStyle name="標準_AR562売上出来高確認表印刷_帳票レイアウト" xfId="2061" xr:uid="{3199984B-AC8E-48DE-AE78-C6B8FDE981CD}"/>
    <cellStyle name="爼ﾗ靉ﾁ篦ｧﾋﾅﾒﾂﾁﾔｵﾔ" xfId="2062" xr:uid="{0D3A4996-9FAA-4830-AE1C-B6FF8AC2B931}"/>
    <cellStyle name="貨幣 [0]_liz-ss" xfId="2063" xr:uid="{B289FD69-162F-4CD4-A8A3-8CD2D2C0080F}"/>
    <cellStyle name="貨幣[0]_LC (2)" xfId="2064" xr:uid="{D9C4F872-92CA-4917-B588-1CBC33D5F87E}"/>
    <cellStyle name="貨幣_LC (2)" xfId="2065" xr:uid="{2D57B6C9-3436-40D2-9107-2C5850A4F137}"/>
    <cellStyle name="超级链接" xfId="1006" xr:uid="{2F6A383A-AC85-4E9F-94F3-F24E92148462}"/>
    <cellStyle name="通貨 [0.00]_laroux" xfId="1007" xr:uid="{41EF4AEC-FF19-4183-BF3E-E520CDC457E4}"/>
    <cellStyle name="通貨_laroux" xfId="1008" xr:uid="{7CA251AE-BE84-4AE1-A590-FAA9604E254E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1" defaultTableStyle="TableStyleMedium2" defaultPivotStyle="PivotStyleLight16">
    <tableStyle name="Invisible" pivot="0" table="0" count="0" xr9:uid="{7A1D1241-12E5-4846-89F6-E88BB187C4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Paper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VALUE ('000 BAHT)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Sheet1!$W$4:$W$173</c:f>
              <c:numCache>
                <c:formatCode>General</c:formatCode>
                <c:ptCount val="170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</c:v>
                </c:pt>
                <c:pt idx="31">
                  <c:v>2</c:v>
                </c:pt>
                <c:pt idx="32">
                  <c:v>5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2</c:v>
                </c:pt>
                <c:pt idx="48">
                  <c:v>4</c:v>
                </c:pt>
                <c:pt idx="49">
                  <c:v>0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7</c:v>
                </c:pt>
                <c:pt idx="70">
                  <c:v>1</c:v>
                </c:pt>
                <c:pt idx="71">
                  <c:v>0</c:v>
                </c:pt>
                <c:pt idx="72">
                  <c:v>3</c:v>
                </c:pt>
                <c:pt idx="73">
                  <c:v>1</c:v>
                </c:pt>
                <c:pt idx="74">
                  <c:v>1</c:v>
                </c:pt>
                <c:pt idx="75">
                  <c:v>3</c:v>
                </c:pt>
                <c:pt idx="76">
                  <c:v>6</c:v>
                </c:pt>
                <c:pt idx="77">
                  <c:v>0</c:v>
                </c:pt>
                <c:pt idx="78">
                  <c:v>4</c:v>
                </c:pt>
                <c:pt idx="79">
                  <c:v>3</c:v>
                </c:pt>
                <c:pt idx="80">
                  <c:v>0</c:v>
                </c:pt>
                <c:pt idx="81">
                  <c:v>2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1</c:v>
                </c:pt>
                <c:pt idx="86">
                  <c:v>6</c:v>
                </c:pt>
                <c:pt idx="87">
                  <c:v>2</c:v>
                </c:pt>
                <c:pt idx="88">
                  <c:v>3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6</c:v>
                </c:pt>
                <c:pt idx="104">
                  <c:v>7</c:v>
                </c:pt>
                <c:pt idx="105">
                  <c:v>1</c:v>
                </c:pt>
                <c:pt idx="106">
                  <c:v>0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3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4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5</c:v>
                </c:pt>
                <c:pt idx="127">
                  <c:v>3</c:v>
                </c:pt>
                <c:pt idx="128">
                  <c:v>1</c:v>
                </c:pt>
                <c:pt idx="129">
                  <c:v>4</c:v>
                </c:pt>
                <c:pt idx="130">
                  <c:v>1</c:v>
                </c:pt>
                <c:pt idx="131">
                  <c:v>3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2</c:v>
                </c:pt>
                <c:pt idx="140">
                  <c:v>3</c:v>
                </c:pt>
                <c:pt idx="141">
                  <c:v>1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6</c:v>
                </c:pt>
                <c:pt idx="148">
                  <c:v>1</c:v>
                </c:pt>
                <c:pt idx="149">
                  <c:v>0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0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4</c:v>
                </c:pt>
                <c:pt idx="158">
                  <c:v>0</c:v>
                </c:pt>
                <c:pt idx="159">
                  <c:v>2</c:v>
                </c:pt>
                <c:pt idx="160">
                  <c:v>1</c:v>
                </c:pt>
                <c:pt idx="161">
                  <c:v>0</c:v>
                </c:pt>
                <c:pt idx="162">
                  <c:v>6</c:v>
                </c:pt>
                <c:pt idx="163">
                  <c:v>0</c:v>
                </c:pt>
                <c:pt idx="164">
                  <c:v>4</c:v>
                </c:pt>
                <c:pt idx="165">
                  <c:v>1</c:v>
                </c:pt>
                <c:pt idx="166">
                  <c:v>3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</c:numCache>
            </c:numRef>
          </c:xVal>
          <c:yVal>
            <c:numRef>
              <c:f>Sheet1!$Y$4:$Y$173</c:f>
              <c:numCache>
                <c:formatCode>_-* #,##0.00_-;\-* #,##0.00_-;_-* "-"??_-;_-@_-</c:formatCode>
                <c:ptCount val="170"/>
                <c:pt idx="0">
                  <c:v>9753.48</c:v>
                </c:pt>
                <c:pt idx="1">
                  <c:v>71.22</c:v>
                </c:pt>
                <c:pt idx="2">
                  <c:v>702.3</c:v>
                </c:pt>
                <c:pt idx="3">
                  <c:v>3021.22</c:v>
                </c:pt>
                <c:pt idx="4">
                  <c:v>67.739999999999995</c:v>
                </c:pt>
                <c:pt idx="5">
                  <c:v>56343.28</c:v>
                </c:pt>
                <c:pt idx="6">
                  <c:v>40236.46</c:v>
                </c:pt>
                <c:pt idx="7">
                  <c:v>1053.18</c:v>
                </c:pt>
                <c:pt idx="8">
                  <c:v>582.41999999999996</c:v>
                </c:pt>
                <c:pt idx="9">
                  <c:v>7243.65</c:v>
                </c:pt>
                <c:pt idx="10">
                  <c:v>6327.56</c:v>
                </c:pt>
                <c:pt idx="11">
                  <c:v>161897.45000000001</c:v>
                </c:pt>
                <c:pt idx="12">
                  <c:v>15.03</c:v>
                </c:pt>
                <c:pt idx="13">
                  <c:v>95.09</c:v>
                </c:pt>
                <c:pt idx="14">
                  <c:v>108263.87</c:v>
                </c:pt>
                <c:pt idx="15">
                  <c:v>734.98</c:v>
                </c:pt>
                <c:pt idx="16">
                  <c:v>354.25</c:v>
                </c:pt>
                <c:pt idx="17">
                  <c:v>2058.0300000000002</c:v>
                </c:pt>
                <c:pt idx="18">
                  <c:v>2536.4299999999998</c:v>
                </c:pt>
                <c:pt idx="19">
                  <c:v>39774.400000000001</c:v>
                </c:pt>
                <c:pt idx="20">
                  <c:v>965.49</c:v>
                </c:pt>
                <c:pt idx="21">
                  <c:v>1306.99</c:v>
                </c:pt>
                <c:pt idx="22">
                  <c:v>1272.05</c:v>
                </c:pt>
                <c:pt idx="23">
                  <c:v>10.07</c:v>
                </c:pt>
                <c:pt idx="24">
                  <c:v>120.62</c:v>
                </c:pt>
                <c:pt idx="25">
                  <c:v>204.59</c:v>
                </c:pt>
                <c:pt idx="26">
                  <c:v>23.2</c:v>
                </c:pt>
                <c:pt idx="27">
                  <c:v>152.47999999999999</c:v>
                </c:pt>
                <c:pt idx="28">
                  <c:v>323.37</c:v>
                </c:pt>
                <c:pt idx="29">
                  <c:v>76.17</c:v>
                </c:pt>
                <c:pt idx="30">
                  <c:v>4583.04</c:v>
                </c:pt>
                <c:pt idx="31">
                  <c:v>443.74</c:v>
                </c:pt>
                <c:pt idx="32">
                  <c:v>3849.51</c:v>
                </c:pt>
                <c:pt idx="33">
                  <c:v>95.79</c:v>
                </c:pt>
                <c:pt idx="34">
                  <c:v>898.55</c:v>
                </c:pt>
                <c:pt idx="35">
                  <c:v>2044.27</c:v>
                </c:pt>
                <c:pt idx="36">
                  <c:v>608.92999999999995</c:v>
                </c:pt>
                <c:pt idx="37">
                  <c:v>12761.05</c:v>
                </c:pt>
                <c:pt idx="38">
                  <c:v>138116.74</c:v>
                </c:pt>
                <c:pt idx="39">
                  <c:v>121.77</c:v>
                </c:pt>
                <c:pt idx="40">
                  <c:v>4626.04</c:v>
                </c:pt>
                <c:pt idx="41">
                  <c:v>5821.82</c:v>
                </c:pt>
                <c:pt idx="42">
                  <c:v>169.04</c:v>
                </c:pt>
                <c:pt idx="43">
                  <c:v>222.52</c:v>
                </c:pt>
                <c:pt idx="44">
                  <c:v>4444.4799999999996</c:v>
                </c:pt>
                <c:pt idx="45">
                  <c:v>6237.69</c:v>
                </c:pt>
                <c:pt idx="46">
                  <c:v>22039.279999999999</c:v>
                </c:pt>
                <c:pt idx="47">
                  <c:v>6925.76</c:v>
                </c:pt>
                <c:pt idx="48">
                  <c:v>7212.08</c:v>
                </c:pt>
                <c:pt idx="49">
                  <c:v>39.94</c:v>
                </c:pt>
                <c:pt idx="50">
                  <c:v>1150.51</c:v>
                </c:pt>
                <c:pt idx="51">
                  <c:v>733.06</c:v>
                </c:pt>
                <c:pt idx="52">
                  <c:v>660.42</c:v>
                </c:pt>
                <c:pt idx="53">
                  <c:v>1296.95</c:v>
                </c:pt>
                <c:pt idx="54">
                  <c:v>48.6</c:v>
                </c:pt>
                <c:pt idx="55">
                  <c:v>213.97</c:v>
                </c:pt>
                <c:pt idx="56">
                  <c:v>341.61</c:v>
                </c:pt>
                <c:pt idx="57">
                  <c:v>3195.13</c:v>
                </c:pt>
                <c:pt idx="58">
                  <c:v>1140.55</c:v>
                </c:pt>
                <c:pt idx="59">
                  <c:v>27.61</c:v>
                </c:pt>
                <c:pt idx="60">
                  <c:v>290.73</c:v>
                </c:pt>
                <c:pt idx="61">
                  <c:v>16539.95</c:v>
                </c:pt>
                <c:pt idx="62">
                  <c:v>521.09</c:v>
                </c:pt>
                <c:pt idx="63">
                  <c:v>2499.7800000000002</c:v>
                </c:pt>
                <c:pt idx="64">
                  <c:v>58.73</c:v>
                </c:pt>
                <c:pt idx="65">
                  <c:v>996.35</c:v>
                </c:pt>
                <c:pt idx="66">
                  <c:v>32.21</c:v>
                </c:pt>
                <c:pt idx="67">
                  <c:v>13.79</c:v>
                </c:pt>
                <c:pt idx="68">
                  <c:v>61.09</c:v>
                </c:pt>
                <c:pt idx="69">
                  <c:v>3091.28</c:v>
                </c:pt>
                <c:pt idx="70">
                  <c:v>718.73</c:v>
                </c:pt>
                <c:pt idx="71">
                  <c:v>39.229999999999997</c:v>
                </c:pt>
                <c:pt idx="72">
                  <c:v>126.55</c:v>
                </c:pt>
                <c:pt idx="73">
                  <c:v>61.25</c:v>
                </c:pt>
                <c:pt idx="74">
                  <c:v>410.32</c:v>
                </c:pt>
                <c:pt idx="75">
                  <c:v>471.09</c:v>
                </c:pt>
                <c:pt idx="76">
                  <c:v>70263.33</c:v>
                </c:pt>
                <c:pt idx="77">
                  <c:v>19.52</c:v>
                </c:pt>
                <c:pt idx="78">
                  <c:v>8627.77</c:v>
                </c:pt>
                <c:pt idx="79">
                  <c:v>50.33</c:v>
                </c:pt>
                <c:pt idx="80">
                  <c:v>327.62</c:v>
                </c:pt>
                <c:pt idx="81">
                  <c:v>185.94</c:v>
                </c:pt>
                <c:pt idx="82">
                  <c:v>1779.14</c:v>
                </c:pt>
                <c:pt idx="83">
                  <c:v>1421.57</c:v>
                </c:pt>
                <c:pt idx="84">
                  <c:v>6339.13</c:v>
                </c:pt>
                <c:pt idx="85">
                  <c:v>3054.4</c:v>
                </c:pt>
                <c:pt idx="86">
                  <c:v>5352.55</c:v>
                </c:pt>
                <c:pt idx="87">
                  <c:v>612.91</c:v>
                </c:pt>
                <c:pt idx="88">
                  <c:v>0.32</c:v>
                </c:pt>
                <c:pt idx="89">
                  <c:v>118.29</c:v>
                </c:pt>
                <c:pt idx="90">
                  <c:v>108.96</c:v>
                </c:pt>
                <c:pt idx="91">
                  <c:v>13556.57</c:v>
                </c:pt>
                <c:pt idx="92">
                  <c:v>245.82</c:v>
                </c:pt>
                <c:pt idx="93">
                  <c:v>851.39</c:v>
                </c:pt>
                <c:pt idx="94">
                  <c:v>2393.46</c:v>
                </c:pt>
                <c:pt idx="95">
                  <c:v>151.08000000000001</c:v>
                </c:pt>
                <c:pt idx="96">
                  <c:v>2102.9899999999998</c:v>
                </c:pt>
                <c:pt idx="97">
                  <c:v>1062.7</c:v>
                </c:pt>
                <c:pt idx="98">
                  <c:v>6031.39</c:v>
                </c:pt>
                <c:pt idx="99">
                  <c:v>1011.71</c:v>
                </c:pt>
                <c:pt idx="100">
                  <c:v>165.27</c:v>
                </c:pt>
                <c:pt idx="101">
                  <c:v>2804.2</c:v>
                </c:pt>
                <c:pt idx="102">
                  <c:v>324.64</c:v>
                </c:pt>
                <c:pt idx="103">
                  <c:v>13091.23</c:v>
                </c:pt>
                <c:pt idx="104">
                  <c:v>22984.11</c:v>
                </c:pt>
                <c:pt idx="105">
                  <c:v>6346.16</c:v>
                </c:pt>
                <c:pt idx="106">
                  <c:v>1889.48</c:v>
                </c:pt>
                <c:pt idx="107">
                  <c:v>1822.17</c:v>
                </c:pt>
                <c:pt idx="108">
                  <c:v>941.99</c:v>
                </c:pt>
                <c:pt idx="109">
                  <c:v>2352.2600000000002</c:v>
                </c:pt>
                <c:pt idx="110">
                  <c:v>87.25</c:v>
                </c:pt>
                <c:pt idx="111">
                  <c:v>2042.33</c:v>
                </c:pt>
                <c:pt idx="112">
                  <c:v>6493.33</c:v>
                </c:pt>
                <c:pt idx="113">
                  <c:v>7847.97</c:v>
                </c:pt>
                <c:pt idx="114">
                  <c:v>1966.45</c:v>
                </c:pt>
                <c:pt idx="115">
                  <c:v>6580.89</c:v>
                </c:pt>
                <c:pt idx="116">
                  <c:v>1923.14</c:v>
                </c:pt>
                <c:pt idx="117">
                  <c:v>259.76</c:v>
                </c:pt>
                <c:pt idx="118">
                  <c:v>796.54</c:v>
                </c:pt>
                <c:pt idx="119">
                  <c:v>2256.54</c:v>
                </c:pt>
                <c:pt idx="120">
                  <c:v>52.97</c:v>
                </c:pt>
                <c:pt idx="121">
                  <c:v>562.45000000000005</c:v>
                </c:pt>
                <c:pt idx="122">
                  <c:v>180.66</c:v>
                </c:pt>
                <c:pt idx="123">
                  <c:v>42.7</c:v>
                </c:pt>
                <c:pt idx="124">
                  <c:v>1122.6300000000001</c:v>
                </c:pt>
                <c:pt idx="125">
                  <c:v>675.94</c:v>
                </c:pt>
                <c:pt idx="126">
                  <c:v>21752.37</c:v>
                </c:pt>
                <c:pt idx="127">
                  <c:v>4534.1400000000003</c:v>
                </c:pt>
                <c:pt idx="128">
                  <c:v>870.66</c:v>
                </c:pt>
                <c:pt idx="129">
                  <c:v>996.19</c:v>
                </c:pt>
                <c:pt idx="130">
                  <c:v>285</c:v>
                </c:pt>
                <c:pt idx="131">
                  <c:v>658.54</c:v>
                </c:pt>
                <c:pt idx="132">
                  <c:v>1120.9100000000001</c:v>
                </c:pt>
                <c:pt idx="133">
                  <c:v>1.46</c:v>
                </c:pt>
                <c:pt idx="134">
                  <c:v>232.44</c:v>
                </c:pt>
                <c:pt idx="135">
                  <c:v>33.36</c:v>
                </c:pt>
                <c:pt idx="136">
                  <c:v>423.51</c:v>
                </c:pt>
                <c:pt idx="137">
                  <c:v>206.89</c:v>
                </c:pt>
                <c:pt idx="138">
                  <c:v>120.09</c:v>
                </c:pt>
                <c:pt idx="139">
                  <c:v>3928.33</c:v>
                </c:pt>
                <c:pt idx="140">
                  <c:v>2435.17</c:v>
                </c:pt>
                <c:pt idx="141">
                  <c:v>368.9</c:v>
                </c:pt>
                <c:pt idx="142">
                  <c:v>21.18</c:v>
                </c:pt>
                <c:pt idx="143">
                  <c:v>594.55999999999995</c:v>
                </c:pt>
                <c:pt idx="144">
                  <c:v>38.71</c:v>
                </c:pt>
                <c:pt idx="145">
                  <c:v>123.14</c:v>
                </c:pt>
                <c:pt idx="146">
                  <c:v>440.83</c:v>
                </c:pt>
                <c:pt idx="147">
                  <c:v>6542.15</c:v>
                </c:pt>
                <c:pt idx="148">
                  <c:v>913.55</c:v>
                </c:pt>
                <c:pt idx="149">
                  <c:v>559.96</c:v>
                </c:pt>
                <c:pt idx="150">
                  <c:v>216.69</c:v>
                </c:pt>
                <c:pt idx="151">
                  <c:v>2996.7</c:v>
                </c:pt>
                <c:pt idx="152">
                  <c:v>31948.6</c:v>
                </c:pt>
                <c:pt idx="153">
                  <c:v>1016.06</c:v>
                </c:pt>
                <c:pt idx="154">
                  <c:v>4405.24</c:v>
                </c:pt>
                <c:pt idx="155">
                  <c:v>3924.04</c:v>
                </c:pt>
                <c:pt idx="156">
                  <c:v>653.79</c:v>
                </c:pt>
                <c:pt idx="157">
                  <c:v>369.29</c:v>
                </c:pt>
                <c:pt idx="158">
                  <c:v>147.41999999999999</c:v>
                </c:pt>
                <c:pt idx="159">
                  <c:v>1132.74</c:v>
                </c:pt>
                <c:pt idx="160">
                  <c:v>10</c:v>
                </c:pt>
                <c:pt idx="161">
                  <c:v>1060.1500000000001</c:v>
                </c:pt>
                <c:pt idx="162">
                  <c:v>370.95</c:v>
                </c:pt>
                <c:pt idx="163">
                  <c:v>2.12</c:v>
                </c:pt>
                <c:pt idx="164">
                  <c:v>1054.26</c:v>
                </c:pt>
                <c:pt idx="165">
                  <c:v>18.93</c:v>
                </c:pt>
                <c:pt idx="166">
                  <c:v>1168.06</c:v>
                </c:pt>
                <c:pt idx="167">
                  <c:v>1235.92</c:v>
                </c:pt>
                <c:pt idx="168">
                  <c:v>30691.360000000001</c:v>
                </c:pt>
                <c:pt idx="169">
                  <c:v>2113.7800000000002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E-49F4-AA7E-CA1DC080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09520"/>
        <c:axId val="1342415760"/>
      </c:scatterChart>
      <c:valAx>
        <c:axId val="134240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15760"/>
        <c:crosses val="autoZero"/>
        <c:crossBetween val="midCat"/>
      </c:valAx>
      <c:valAx>
        <c:axId val="13424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0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จำนวนนักวิเคราะห์ ส่งผลต่อ รายได้บริษัท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Sheet1!$AL$2</c:f>
              <c:strCache>
                <c:ptCount val="1"/>
                <c:pt idx="0">
                  <c:v>จำนวนนักวิเคราะห์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Sheet1!$AI$3:$AI$15</c:f>
              <c:numCache>
                <c:formatCode>_-* #,##0.00_-;\-* #,##0.00_-;_-* "-"??_-;_-@_-</c:formatCode>
                <c:ptCount val="13"/>
                <c:pt idx="0">
                  <c:v>3398394818</c:v>
                </c:pt>
                <c:pt idx="1">
                  <c:v>2373949797</c:v>
                </c:pt>
                <c:pt idx="2">
                  <c:v>2239439295</c:v>
                </c:pt>
                <c:pt idx="3">
                  <c:v>1848983500</c:v>
                </c:pt>
                <c:pt idx="4">
                  <c:v>1835500690</c:v>
                </c:pt>
                <c:pt idx="5">
                  <c:v>1769656685</c:v>
                </c:pt>
                <c:pt idx="6">
                  <c:v>1435099919</c:v>
                </c:pt>
                <c:pt idx="7">
                  <c:v>1138145682</c:v>
                </c:pt>
                <c:pt idx="8">
                  <c:v>813264285</c:v>
                </c:pt>
                <c:pt idx="9">
                  <c:v>482930984</c:v>
                </c:pt>
                <c:pt idx="10">
                  <c:v>403201404</c:v>
                </c:pt>
                <c:pt idx="11">
                  <c:v>327965354</c:v>
                </c:pt>
                <c:pt idx="12">
                  <c:v>200626053</c:v>
                </c:pt>
              </c:numCache>
            </c:numRef>
          </c:xVal>
          <c:yVal>
            <c:numRef>
              <c:f>Sheet1!$AL$3:$AL$15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 formatCode="_-* #,##0_-;\-* #,##0_-;_-* &quot;-&quot;_-;_-@_-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D-48C1-8E6E-876EDECAB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69040"/>
        <c:axId val="1342471920"/>
      </c:scatterChart>
      <c:valAx>
        <c:axId val="134246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71920"/>
        <c:crosses val="autoZero"/>
        <c:crossBetween val="midCat"/>
      </c:valAx>
      <c:valAx>
        <c:axId val="13424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ออกเอง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VALUE ('000 BAHT)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Sheet1!$X$4:$X$173</c:f>
              <c:numCache>
                <c:formatCode>General</c:formatCode>
                <c:ptCount val="170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</c:numCache>
            </c:numRef>
          </c:xVal>
          <c:yVal>
            <c:numRef>
              <c:f>Sheet1!$Y$4:$Y$173</c:f>
              <c:numCache>
                <c:formatCode>_-* #,##0.00_-;\-* #,##0.00_-;_-* "-"??_-;_-@_-</c:formatCode>
                <c:ptCount val="170"/>
                <c:pt idx="0">
                  <c:v>9753.48</c:v>
                </c:pt>
                <c:pt idx="1">
                  <c:v>71.22</c:v>
                </c:pt>
                <c:pt idx="2">
                  <c:v>702.3</c:v>
                </c:pt>
                <c:pt idx="3">
                  <c:v>3021.22</c:v>
                </c:pt>
                <c:pt idx="4">
                  <c:v>67.739999999999995</c:v>
                </c:pt>
                <c:pt idx="5">
                  <c:v>56343.28</c:v>
                </c:pt>
                <c:pt idx="6">
                  <c:v>40236.46</c:v>
                </c:pt>
                <c:pt idx="7">
                  <c:v>1053.18</c:v>
                </c:pt>
                <c:pt idx="8">
                  <c:v>582.41999999999996</c:v>
                </c:pt>
                <c:pt idx="9">
                  <c:v>7243.65</c:v>
                </c:pt>
                <c:pt idx="10">
                  <c:v>6327.56</c:v>
                </c:pt>
                <c:pt idx="11">
                  <c:v>161897.45000000001</c:v>
                </c:pt>
                <c:pt idx="12">
                  <c:v>15.03</c:v>
                </c:pt>
                <c:pt idx="13">
                  <c:v>95.09</c:v>
                </c:pt>
                <c:pt idx="14">
                  <c:v>108263.87</c:v>
                </c:pt>
                <c:pt idx="15">
                  <c:v>734.98</c:v>
                </c:pt>
                <c:pt idx="16">
                  <c:v>354.25</c:v>
                </c:pt>
                <c:pt idx="17">
                  <c:v>2058.0300000000002</c:v>
                </c:pt>
                <c:pt idx="18">
                  <c:v>2536.4299999999998</c:v>
                </c:pt>
                <c:pt idx="19">
                  <c:v>39774.400000000001</c:v>
                </c:pt>
                <c:pt idx="20">
                  <c:v>965.49</c:v>
                </c:pt>
                <c:pt idx="21">
                  <c:v>1306.99</c:v>
                </c:pt>
                <c:pt idx="22">
                  <c:v>1272.05</c:v>
                </c:pt>
                <c:pt idx="23">
                  <c:v>10.07</c:v>
                </c:pt>
                <c:pt idx="24">
                  <c:v>120.62</c:v>
                </c:pt>
                <c:pt idx="25">
                  <c:v>204.59</c:v>
                </c:pt>
                <c:pt idx="26">
                  <c:v>23.2</c:v>
                </c:pt>
                <c:pt idx="27">
                  <c:v>152.47999999999999</c:v>
                </c:pt>
                <c:pt idx="28">
                  <c:v>323.37</c:v>
                </c:pt>
                <c:pt idx="29">
                  <c:v>76.17</c:v>
                </c:pt>
                <c:pt idx="30">
                  <c:v>4583.04</c:v>
                </c:pt>
                <c:pt idx="31">
                  <c:v>443.74</c:v>
                </c:pt>
                <c:pt idx="32">
                  <c:v>3849.51</c:v>
                </c:pt>
                <c:pt idx="33">
                  <c:v>95.79</c:v>
                </c:pt>
                <c:pt idx="34">
                  <c:v>898.55</c:v>
                </c:pt>
                <c:pt idx="35">
                  <c:v>2044.27</c:v>
                </c:pt>
                <c:pt idx="36">
                  <c:v>608.92999999999995</c:v>
                </c:pt>
                <c:pt idx="37">
                  <c:v>12761.05</c:v>
                </c:pt>
                <c:pt idx="38">
                  <c:v>138116.74</c:v>
                </c:pt>
                <c:pt idx="39">
                  <c:v>121.77</c:v>
                </c:pt>
                <c:pt idx="40">
                  <c:v>4626.04</c:v>
                </c:pt>
                <c:pt idx="41">
                  <c:v>5821.82</c:v>
                </c:pt>
                <c:pt idx="42">
                  <c:v>169.04</c:v>
                </c:pt>
                <c:pt idx="43">
                  <c:v>222.52</c:v>
                </c:pt>
                <c:pt idx="44">
                  <c:v>4444.4799999999996</c:v>
                </c:pt>
                <c:pt idx="45">
                  <c:v>6237.69</c:v>
                </c:pt>
                <c:pt idx="46">
                  <c:v>22039.279999999999</c:v>
                </c:pt>
                <c:pt idx="47">
                  <c:v>6925.76</c:v>
                </c:pt>
                <c:pt idx="48">
                  <c:v>7212.08</c:v>
                </c:pt>
                <c:pt idx="49">
                  <c:v>39.94</c:v>
                </c:pt>
                <c:pt idx="50">
                  <c:v>1150.51</c:v>
                </c:pt>
                <c:pt idx="51">
                  <c:v>733.06</c:v>
                </c:pt>
                <c:pt idx="52">
                  <c:v>660.42</c:v>
                </c:pt>
                <c:pt idx="53">
                  <c:v>1296.95</c:v>
                </c:pt>
                <c:pt idx="54">
                  <c:v>48.6</c:v>
                </c:pt>
                <c:pt idx="55">
                  <c:v>213.97</c:v>
                </c:pt>
                <c:pt idx="56">
                  <c:v>341.61</c:v>
                </c:pt>
                <c:pt idx="57">
                  <c:v>3195.13</c:v>
                </c:pt>
                <c:pt idx="58">
                  <c:v>1140.55</c:v>
                </c:pt>
                <c:pt idx="59">
                  <c:v>27.61</c:v>
                </c:pt>
                <c:pt idx="60">
                  <c:v>290.73</c:v>
                </c:pt>
                <c:pt idx="61">
                  <c:v>16539.95</c:v>
                </c:pt>
                <c:pt idx="62">
                  <c:v>521.09</c:v>
                </c:pt>
                <c:pt idx="63">
                  <c:v>2499.7800000000002</c:v>
                </c:pt>
                <c:pt idx="64">
                  <c:v>58.73</c:v>
                </c:pt>
                <c:pt idx="65">
                  <c:v>996.35</c:v>
                </c:pt>
                <c:pt idx="66">
                  <c:v>32.21</c:v>
                </c:pt>
                <c:pt idx="67">
                  <c:v>13.79</c:v>
                </c:pt>
                <c:pt idx="68">
                  <c:v>61.09</c:v>
                </c:pt>
                <c:pt idx="69">
                  <c:v>3091.28</c:v>
                </c:pt>
                <c:pt idx="70">
                  <c:v>718.73</c:v>
                </c:pt>
                <c:pt idx="71">
                  <c:v>39.229999999999997</c:v>
                </c:pt>
                <c:pt idx="72">
                  <c:v>126.55</c:v>
                </c:pt>
                <c:pt idx="73">
                  <c:v>61.25</c:v>
                </c:pt>
                <c:pt idx="74">
                  <c:v>410.32</c:v>
                </c:pt>
                <c:pt idx="75">
                  <c:v>471.09</c:v>
                </c:pt>
                <c:pt idx="76">
                  <c:v>70263.33</c:v>
                </c:pt>
                <c:pt idx="77">
                  <c:v>19.52</c:v>
                </c:pt>
                <c:pt idx="78">
                  <c:v>8627.77</c:v>
                </c:pt>
                <c:pt idx="79">
                  <c:v>50.33</c:v>
                </c:pt>
                <c:pt idx="80">
                  <c:v>327.62</c:v>
                </c:pt>
                <c:pt idx="81">
                  <c:v>185.94</c:v>
                </c:pt>
                <c:pt idx="82">
                  <c:v>1779.14</c:v>
                </c:pt>
                <c:pt idx="83">
                  <c:v>1421.57</c:v>
                </c:pt>
                <c:pt idx="84">
                  <c:v>6339.13</c:v>
                </c:pt>
                <c:pt idx="85">
                  <c:v>3054.4</c:v>
                </c:pt>
                <c:pt idx="86">
                  <c:v>5352.55</c:v>
                </c:pt>
                <c:pt idx="87">
                  <c:v>612.91</c:v>
                </c:pt>
                <c:pt idx="88">
                  <c:v>0.32</c:v>
                </c:pt>
                <c:pt idx="89">
                  <c:v>118.29</c:v>
                </c:pt>
                <c:pt idx="90">
                  <c:v>108.96</c:v>
                </c:pt>
                <c:pt idx="91">
                  <c:v>13556.57</c:v>
                </c:pt>
                <c:pt idx="92">
                  <c:v>245.82</c:v>
                </c:pt>
                <c:pt idx="93">
                  <c:v>851.39</c:v>
                </c:pt>
                <c:pt idx="94">
                  <c:v>2393.46</c:v>
                </c:pt>
                <c:pt idx="95">
                  <c:v>151.08000000000001</c:v>
                </c:pt>
                <c:pt idx="96">
                  <c:v>2102.9899999999998</c:v>
                </c:pt>
                <c:pt idx="97">
                  <c:v>1062.7</c:v>
                </c:pt>
                <c:pt idx="98">
                  <c:v>6031.39</c:v>
                </c:pt>
                <c:pt idx="99">
                  <c:v>1011.71</c:v>
                </c:pt>
                <c:pt idx="100">
                  <c:v>165.27</c:v>
                </c:pt>
                <c:pt idx="101">
                  <c:v>2804.2</c:v>
                </c:pt>
                <c:pt idx="102">
                  <c:v>324.64</c:v>
                </c:pt>
                <c:pt idx="103">
                  <c:v>13091.23</c:v>
                </c:pt>
                <c:pt idx="104">
                  <c:v>22984.11</c:v>
                </c:pt>
                <c:pt idx="105">
                  <c:v>6346.16</c:v>
                </c:pt>
                <c:pt idx="106">
                  <c:v>1889.48</c:v>
                </c:pt>
                <c:pt idx="107">
                  <c:v>1822.17</c:v>
                </c:pt>
                <c:pt idx="108">
                  <c:v>941.99</c:v>
                </c:pt>
                <c:pt idx="109">
                  <c:v>2352.2600000000002</c:v>
                </c:pt>
                <c:pt idx="110">
                  <c:v>87.25</c:v>
                </c:pt>
                <c:pt idx="111">
                  <c:v>2042.33</c:v>
                </c:pt>
                <c:pt idx="112">
                  <c:v>6493.33</c:v>
                </c:pt>
                <c:pt idx="113">
                  <c:v>7847.97</c:v>
                </c:pt>
                <c:pt idx="114">
                  <c:v>1966.45</c:v>
                </c:pt>
                <c:pt idx="115">
                  <c:v>6580.89</c:v>
                </c:pt>
                <c:pt idx="116">
                  <c:v>1923.14</c:v>
                </c:pt>
                <c:pt idx="117">
                  <c:v>259.76</c:v>
                </c:pt>
                <c:pt idx="118">
                  <c:v>796.54</c:v>
                </c:pt>
                <c:pt idx="119">
                  <c:v>2256.54</c:v>
                </c:pt>
                <c:pt idx="120">
                  <c:v>52.97</c:v>
                </c:pt>
                <c:pt idx="121">
                  <c:v>562.45000000000005</c:v>
                </c:pt>
                <c:pt idx="122">
                  <c:v>180.66</c:v>
                </c:pt>
                <c:pt idx="123">
                  <c:v>42.7</c:v>
                </c:pt>
                <c:pt idx="124">
                  <c:v>1122.6300000000001</c:v>
                </c:pt>
                <c:pt idx="125">
                  <c:v>675.94</c:v>
                </c:pt>
                <c:pt idx="126">
                  <c:v>21752.37</c:v>
                </c:pt>
                <c:pt idx="127">
                  <c:v>4534.1400000000003</c:v>
                </c:pt>
                <c:pt idx="128">
                  <c:v>870.66</c:v>
                </c:pt>
                <c:pt idx="129">
                  <c:v>996.19</c:v>
                </c:pt>
                <c:pt idx="130">
                  <c:v>285</c:v>
                </c:pt>
                <c:pt idx="131">
                  <c:v>658.54</c:v>
                </c:pt>
                <c:pt idx="132">
                  <c:v>1120.9100000000001</c:v>
                </c:pt>
                <c:pt idx="133">
                  <c:v>1.46</c:v>
                </c:pt>
                <c:pt idx="134">
                  <c:v>232.44</c:v>
                </c:pt>
                <c:pt idx="135">
                  <c:v>33.36</c:v>
                </c:pt>
                <c:pt idx="136">
                  <c:v>423.51</c:v>
                </c:pt>
                <c:pt idx="137">
                  <c:v>206.89</c:v>
                </c:pt>
                <c:pt idx="138">
                  <c:v>120.09</c:v>
                </c:pt>
                <c:pt idx="139">
                  <c:v>3928.33</c:v>
                </c:pt>
                <c:pt idx="140">
                  <c:v>2435.17</c:v>
                </c:pt>
                <c:pt idx="141">
                  <c:v>368.9</c:v>
                </c:pt>
                <c:pt idx="142">
                  <c:v>21.18</c:v>
                </c:pt>
                <c:pt idx="143">
                  <c:v>594.55999999999995</c:v>
                </c:pt>
                <c:pt idx="144">
                  <c:v>38.71</c:v>
                </c:pt>
                <c:pt idx="145">
                  <c:v>123.14</c:v>
                </c:pt>
                <c:pt idx="146">
                  <c:v>440.83</c:v>
                </c:pt>
                <c:pt idx="147">
                  <c:v>6542.15</c:v>
                </c:pt>
                <c:pt idx="148">
                  <c:v>913.55</c:v>
                </c:pt>
                <c:pt idx="149">
                  <c:v>559.96</c:v>
                </c:pt>
                <c:pt idx="150">
                  <c:v>216.69</c:v>
                </c:pt>
                <c:pt idx="151">
                  <c:v>2996.7</c:v>
                </c:pt>
                <c:pt idx="152">
                  <c:v>31948.6</c:v>
                </c:pt>
                <c:pt idx="153">
                  <c:v>1016.06</c:v>
                </c:pt>
                <c:pt idx="154">
                  <c:v>4405.24</c:v>
                </c:pt>
                <c:pt idx="155">
                  <c:v>3924.04</c:v>
                </c:pt>
                <c:pt idx="156">
                  <c:v>653.79</c:v>
                </c:pt>
                <c:pt idx="157">
                  <c:v>369.29</c:v>
                </c:pt>
                <c:pt idx="158">
                  <c:v>147.41999999999999</c:v>
                </c:pt>
                <c:pt idx="159">
                  <c:v>1132.74</c:v>
                </c:pt>
                <c:pt idx="160">
                  <c:v>10</c:v>
                </c:pt>
                <c:pt idx="161">
                  <c:v>1060.1500000000001</c:v>
                </c:pt>
                <c:pt idx="162">
                  <c:v>370.95</c:v>
                </c:pt>
                <c:pt idx="163">
                  <c:v>2.12</c:v>
                </c:pt>
                <c:pt idx="164">
                  <c:v>1054.26</c:v>
                </c:pt>
                <c:pt idx="165">
                  <c:v>18.93</c:v>
                </c:pt>
                <c:pt idx="166">
                  <c:v>1168.06</c:v>
                </c:pt>
                <c:pt idx="167">
                  <c:v>1235.92</c:v>
                </c:pt>
                <c:pt idx="168">
                  <c:v>30691.360000000001</c:v>
                </c:pt>
                <c:pt idx="169">
                  <c:v>2113.7800000000002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9-4F25-8809-8DCF106B8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31600"/>
        <c:axId val="1342444560"/>
      </c:scatterChart>
      <c:valAx>
        <c:axId val="134243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44560"/>
        <c:crosses val="autoZero"/>
        <c:crossBetween val="midCat"/>
      </c:valAx>
      <c:valAx>
        <c:axId val="1342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3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2</xdr:row>
      <xdr:rowOff>85725</xdr:rowOff>
    </xdr:from>
    <xdr:to>
      <xdr:col>8</xdr:col>
      <xdr:colOff>552450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6F339-C818-4C0D-8253-CAF85C3B8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352425</xdr:colOff>
      <xdr:row>17</xdr:row>
      <xdr:rowOff>161925</xdr:rowOff>
    </xdr:from>
    <xdr:to>
      <xdr:col>14</xdr:col>
      <xdr:colOff>47625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942A4-0A3F-4620-8EED-54B0CD16C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361950</xdr:colOff>
      <xdr:row>2</xdr:row>
      <xdr:rowOff>0</xdr:rowOff>
    </xdr:from>
    <xdr:to>
      <xdr:col>18</xdr:col>
      <xdr:colOff>57150</xdr:colOff>
      <xdr:row>16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956FD0-9334-41FA-95E6-9BC8CEB1F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F2335-D092-46C9-BFCD-F6CC45BFBE40}" name="Table1" displayName="Table1" ref="F3:Z173" totalsRowShown="0">
  <autoFilter ref="F3:Z173" xr:uid="{D3DF2335-D092-46C9-BFCD-F6CC45BFBE40}"/>
  <sortState xmlns:xlrd2="http://schemas.microsoft.com/office/spreadsheetml/2017/richdata2" ref="F4:Z173">
    <sortCondition ref="F3:F173"/>
  </sortState>
  <tableColumns count="21">
    <tableColumn id="1" xr3:uid="{CB86857A-26D1-4DF1-9520-14DB0AACD7BD}" name="สินทรัพย์อ้างอิง" dataDxfId="32"/>
    <tableColumn id="2" xr3:uid="{7C7A6EF4-E49B-45BA-8297-857C349775E7}" name="KTX"/>
    <tableColumn id="3" xr3:uid="{93EB903F-B7A6-45F8-BA67-B50346E64B5A}" name="BLS"/>
    <tableColumn id="4" xr3:uid="{1BADBBC2-C76C-45FB-9922-CE6B71ECB50B}" name="KRUNGSRI"/>
    <tableColumn id="5" xr3:uid="{34E7AD45-FE8B-4903-B2F7-CD57567C0A03}" name="YUANTA"/>
    <tableColumn id="6" xr3:uid="{C374BE86-C513-4CF2-9C71-2F35C3515477}" name="INVX"/>
    <tableColumn id="7" xr3:uid="{65861CE3-6991-4200-84A6-D4BB4C5DBE9B}" name="FINANSIA"/>
    <tableColumn id="8" xr3:uid="{5CFE3EA7-B38D-4863-8DE5-D5E099E3CF2B}" name="DAOL"/>
    <tableColumn id="9" xr3:uid="{A4CDA4CB-AFC3-4606-944D-BCD724BB27B0}" name="PI"/>
    <tableColumn id="10" xr3:uid="{B0C3A894-3F44-427F-A04B-9AD78F1CFD29}" name="GLOBLEX"/>
    <tableColumn id="11" xr3:uid="{F0AA0BB2-F366-4093-8B4F-42B10C7C893B}" name="MAYBANK"/>
    <tableColumn id="12" xr3:uid="{DCE0E614-E363-44AD-A737-0D1F5738AEE2}" name="ASL"/>
    <tableColumn id="13" xr3:uid="{7769684D-510E-4B70-9BE4-E29C9EE873E3}" name="AIRA"/>
    <tableColumn id="14" xr3:uid="{F58CF059-B7B7-4C56-A03F-623BDEB3960F}" name="KTCIO"/>
    <tableColumn id="15" xr3:uid="{E6E9C129-9806-43B4-A00E-70596BBA68BD}" name="TRINITY"/>
    <tableColumn id="16" xr3:uid="{BD2D03A7-5507-4A12-898C-9C7341EABCC4}" name="FUNDAMENTAL">
      <calculatedColumnFormula>SUM(G4:H4,K4:Q4,S4)</calculatedColumnFormula>
    </tableColumn>
    <tableColumn id="17" xr3:uid="{E3E81659-219F-47C3-8569-24E86E83FD03}" name="TECHNICAL">
      <calculatedColumnFormula>SUM(J4,R4,T4)</calculatedColumnFormula>
    </tableColumn>
    <tableColumn id="20" xr3:uid="{42EA84B1-7D1C-47DA-9A46-EF5C43B11AFD}" name="TOTAL PAPER">
      <calculatedColumnFormula>SUM(Table1[[#This Row],[FUNDAMENTAL]:[TECHNICAL]])</calculatedColumnFormula>
    </tableColumn>
    <tableColumn id="18" xr3:uid="{D8D2AC25-7C0C-4678-AA40-129983536075}" name="ออกเอง" dataDxfId="31" dataCellStyle="Comma"/>
    <tableColumn id="19" xr3:uid="{05F71793-2DDA-4B92-BF9A-FC32191D88DD}" name="VALUE ('000 BAHT)" dataDxfId="30" dataCellStyle="Comma">
      <calculatedColumnFormula>VLOOKUP(F4,$A$3:$B$174,2,FALSE)</calculatedColumnFormula>
    </tableColumn>
    <tableColumn id="21" xr3:uid="{DDAE292A-9232-4BD9-A59F-1BF2723CE2E1}" name="VOLUME" dataDxfId="29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E1CCF-C45D-480D-90C7-63C6A0445494}" name="Table2" displayName="Table2" ref="AE2:AL15" totalsRowShown="0" headerRowDxfId="28">
  <autoFilter ref="AE2:AL15" xr:uid="{D28E1CCF-C45D-480D-90C7-63C6A0445494}"/>
  <sortState xmlns:xlrd2="http://schemas.microsoft.com/office/spreadsheetml/2017/richdata2" ref="AE3:AL15">
    <sortCondition descending="1" ref="AI2:AI15"/>
  </sortState>
  <tableColumns count="8">
    <tableColumn id="1" xr3:uid="{885A7CCE-A303-4E9C-A477-9F7A3E3246C8}" name="รายได้ ค่านายหน้า" dataDxfId="27"/>
    <tableColumn id="2" xr3:uid="{F8B1152D-2AEF-404D-8E85-7C18EBC82BE9}" name="2566" dataDxfId="26" dataCellStyle="Comma"/>
    <tableColumn id="3" xr3:uid="{6541833E-E0C2-4FFD-B53D-6FF274F729D2}" name="2567" dataDxfId="25" dataCellStyle="Comma"/>
    <tableColumn id="4" xr3:uid="{7AA1BF81-6EE3-4882-8BE8-42BDE261A8F4}" name="2568 (ครึ่งแรก)" dataDxfId="24" dataCellStyle="Comma"/>
    <tableColumn id="5" xr3:uid="{75628403-B6F4-49F8-913A-937325043117}" name="SUM Rev 66-67" dataDxfId="23" dataCellStyle="Comma">
      <calculatedColumnFormula>SUM(Table2[[#This Row],[2566]:[2567]])</calculatedColumnFormula>
    </tableColumn>
    <tableColumn id="7" xr3:uid="{8078DDA7-99D7-4159-A708-7CF95AFBBE1E}" name="sum REV2" dataDxfId="22" dataCellStyle="Comma">
      <calculatedColumnFormula>SUM(Table2[[#This Row],[2566]:[2568 (ครึ่งแรก)]])</calculatedColumnFormula>
    </tableColumn>
    <tableColumn id="6" xr3:uid="{CA710305-CC2A-4B14-827D-1E6475F08795}" name="TOTAL PAPER" dataDxfId="21"/>
    <tableColumn id="10" xr3:uid="{2E4F0982-3E73-463C-B98E-23F786BDFF48}" name="จำนวนนักวิเคราะห์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9232ED-BF4E-4178-9E64-17F881BC30E0}" name="Table3" displayName="Table3" ref="AE22:AL35" totalsRowShown="0" headerRowDxfId="19">
  <autoFilter ref="AE22:AL35" xr:uid="{2C9232ED-BF4E-4178-9E64-17F881BC30E0}"/>
  <sortState xmlns:xlrd2="http://schemas.microsoft.com/office/spreadsheetml/2017/richdata2" ref="AE23:AK35">
    <sortCondition descending="1" ref="AI22:AI35"/>
  </sortState>
  <tableColumns count="8">
    <tableColumn id="1" xr3:uid="{776E5ADE-4904-4E55-B0C6-DDF0F9B9FE27}" name="รายได้ ค่าธรรมเนียม และ บริการ" dataDxfId="18"/>
    <tableColumn id="2" xr3:uid="{70A6B314-1EDC-4839-91C6-AD86B9752830}" name="2566" dataDxfId="17" dataCellStyle="Comma"/>
    <tableColumn id="3" xr3:uid="{33515872-3905-4DFE-BEBF-F33C8BA66B0B}" name="2567" dataDxfId="16" dataCellStyle="Comma"/>
    <tableColumn id="4" xr3:uid="{908DE0DA-AB71-4A20-A46E-E45CF35BB01C}" name="2568 (ครึ่งแรก)" dataDxfId="15" dataCellStyle="Comma"/>
    <tableColumn id="5" xr3:uid="{488F2D08-2797-4B58-B03B-31D4FE95566E}" name="SUM Rev 66-67" dataDxfId="14" dataCellStyle="Comma">
      <calculatedColumnFormula>SUM(Table3[[#This Row],[2566]:[2567]])</calculatedColumnFormula>
    </tableColumn>
    <tableColumn id="6" xr3:uid="{AF418C02-2BF4-447A-A4BE-A9062175B5D3}" name="sum REV" dataDxfId="13" dataCellStyle="Comma">
      <calculatedColumnFormula>SUM(Table3[[#This Row],[2566]:[SUM Rev 66-67]])</calculatedColumnFormula>
    </tableColumn>
    <tableColumn id="7" xr3:uid="{F934AADC-ADC2-4633-928D-D15BB32C4BF9}" name="TOTAL PAPER" dataDxfId="12"/>
    <tableColumn id="8" xr3:uid="{B46197CB-19F2-428A-BD5E-B1BE2E8E1601}" name="จำนวนนักวิเคราะห์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3CA190-9DEA-4040-8184-28865C376E51}" name="Table5" displayName="Table5" ref="AW3:AZ173" totalsRowShown="0" headerRowDxfId="10" tableBorderDxfId="9">
  <autoFilter ref="AW3:AZ173" xr:uid="{333CA190-9DEA-4040-8184-28865C376E51}"/>
  <sortState xmlns:xlrd2="http://schemas.microsoft.com/office/spreadsheetml/2017/richdata2" ref="AW4:AZ173">
    <sortCondition descending="1" ref="AX3:AX173"/>
  </sortState>
  <tableColumns count="4">
    <tableColumn id="1" xr3:uid="{8DC1C081-F584-4095-8AE9-7D1737F53A25}" name="สินทรัพย์" dataDxfId="8"/>
    <tableColumn id="2" xr3:uid="{7834927D-022F-4F33-B025-75F6B110D392}" name="VOLUME" dataDxfId="7" dataCellStyle="Comma"/>
    <tableColumn id="3" xr3:uid="{9A8A4548-7C4D-44DF-AD8A-8F7FF304D612}" name="VALUE ('000 BAHT)" dataDxfId="6" dataCellStyle="Comma">
      <calculatedColumnFormula>VLOOKUP(Table5[[#This Row],[สินทรัพย์]],Table1[],19,FALSE)</calculatedColumnFormula>
    </tableColumn>
    <tableColumn id="4" xr3:uid="{72F78E98-09B8-4E56-8310-EEFDFF7B71EB}" name="TOTAL PAPER" dataDxfId="5">
      <calculatedColumnFormula>VLOOKUP(AW4,Table1[[สินทรัพย์อ้างอิง]:[TOTAL PAPER]],18,FALSE)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F991AC-47BF-42FD-921B-EF7E399E2CBE}" name="Table4" displayName="Table4" ref="AO3:AR236" totalsRowShown="0" headerRowDxfId="4">
  <autoFilter ref="AO3:AR236" xr:uid="{6BF991AC-47BF-42FD-921B-EF7E399E2CBE}"/>
  <sortState xmlns:xlrd2="http://schemas.microsoft.com/office/spreadsheetml/2017/richdata2" ref="AO4:AR236">
    <sortCondition ref="AO3:AO236"/>
  </sortState>
  <tableColumns count="4">
    <tableColumn id="1" xr3:uid="{174177A6-E245-4134-A04C-FA793AA02661}" name="หลักทรัพย์" dataDxfId="3"/>
    <tableColumn id="2" xr3:uid="{30FC3361-73FB-49B1-9350-76EDBBE4BD46}" name="ราคาล่าสุด" dataDxfId="2"/>
    <tableColumn id="3" xr3:uid="{A87C71A7-0734-472F-BC6B-0D697EF1F999}" name="จำนวน (หน่วย)" dataDxfId="1" dataCellStyle="Comma"/>
    <tableColumn id="4" xr3:uid="{ECE669D6-0DE7-4841-A855-61A6E2C96FD6}" name="Volume" dataDxfId="0" dataCellStyle="Comma">
      <calculatedColumnFormula>AP4*AQ4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626B-0344-455C-99B7-68B22F6C3F41}">
  <dimension ref="A1:AZ236"/>
  <sheetViews>
    <sheetView topLeftCell="S1" zoomScale="85" zoomScaleNormal="85" workbookViewId="0">
      <selection activeCell="AE22" sqref="AE22:AL35"/>
    </sheetView>
  </sheetViews>
  <sheetFormatPr defaultRowHeight="15"/>
  <cols>
    <col min="1" max="1" width="12.5703125" bestFit="1" customWidth="1"/>
    <col min="2" max="2" width="16.85546875" bestFit="1" customWidth="1"/>
    <col min="3" max="3" width="11.5703125" customWidth="1"/>
    <col min="5" max="5" width="10" bestFit="1" customWidth="1"/>
    <col min="6" max="6" width="19.140625" bestFit="1" customWidth="1"/>
    <col min="7" max="7" width="10.42578125" customWidth="1"/>
    <col min="8" max="8" width="10.7109375" customWidth="1"/>
    <col min="9" max="9" width="15.5703125" customWidth="1"/>
    <col min="10" max="10" width="13.85546875" customWidth="1"/>
    <col min="11" max="11" width="10.28515625" customWidth="1"/>
    <col min="12" max="12" width="14.85546875" customWidth="1"/>
    <col min="13" max="13" width="11.28515625" customWidth="1"/>
    <col min="14" max="14" width="12" bestFit="1" customWidth="1"/>
    <col min="15" max="15" width="14.85546875" customWidth="1"/>
    <col min="16" max="16" width="12" bestFit="1" customWidth="1"/>
    <col min="17" max="17" width="10.5703125" bestFit="1" customWidth="1"/>
    <col min="18" max="18" width="14.28515625" bestFit="1" customWidth="1"/>
    <col min="19" max="19" width="11.42578125" customWidth="1"/>
    <col min="20" max="20" width="13.28515625" customWidth="1"/>
    <col min="21" max="21" width="13.7109375" customWidth="1"/>
    <col min="22" max="22" width="16.7109375" customWidth="1"/>
    <col min="23" max="23" width="14.7109375" bestFit="1" customWidth="1"/>
    <col min="24" max="24" width="16.42578125" bestFit="1" customWidth="1"/>
    <col min="25" max="25" width="19.140625" bestFit="1" customWidth="1"/>
    <col min="26" max="26" width="16.85546875" bestFit="1" customWidth="1"/>
    <col min="31" max="32" width="22.85546875" bestFit="1" customWidth="1"/>
    <col min="33" max="33" width="21.140625" bestFit="1" customWidth="1"/>
    <col min="34" max="34" width="16.85546875" bestFit="1" customWidth="1"/>
    <col min="35" max="35" width="18" bestFit="1" customWidth="1"/>
    <col min="36" max="36" width="15.5703125" customWidth="1"/>
    <col min="37" max="37" width="18.28515625" customWidth="1"/>
    <col min="38" max="38" width="14.28515625" bestFit="1" customWidth="1"/>
    <col min="40" max="40" width="10.5703125" bestFit="1" customWidth="1"/>
    <col min="41" max="41" width="19.42578125" customWidth="1"/>
    <col min="42" max="42" width="13.28515625" bestFit="1" customWidth="1"/>
    <col min="43" max="43" width="15.28515625" customWidth="1"/>
    <col min="44" max="44" width="20.28515625" bestFit="1" customWidth="1"/>
    <col min="45" max="46" width="9" customWidth="1"/>
    <col min="49" max="49" width="13.42578125" bestFit="1" customWidth="1"/>
    <col min="50" max="50" width="16.85546875" bestFit="1" customWidth="1"/>
    <col min="51" max="51" width="18.85546875" customWidth="1"/>
    <col min="52" max="52" width="14.140625" customWidth="1"/>
    <col min="53" max="53" width="17" bestFit="1" customWidth="1"/>
    <col min="54" max="54" width="10.5703125" bestFit="1" customWidth="1"/>
    <col min="55" max="55" width="12.5703125" bestFit="1" customWidth="1"/>
    <col min="56" max="56" width="11.140625" customWidth="1"/>
    <col min="57" max="57" width="15.7109375" customWidth="1"/>
    <col min="58" max="58" width="13.5703125" bestFit="1" customWidth="1"/>
  </cols>
  <sheetData>
    <row r="1" spans="1:52">
      <c r="F1" s="15" t="s">
        <v>205</v>
      </c>
      <c r="G1" s="17">
        <f>SUM(Table1[KTX])</f>
        <v>51</v>
      </c>
      <c r="H1" s="17">
        <f>SUM(Table1[BLS])</f>
        <v>27</v>
      </c>
      <c r="I1" s="17">
        <f>SUM(Table1[KRUNGSRI])</f>
        <v>4</v>
      </c>
      <c r="J1" s="17">
        <f>SUM(Table1[YUANTA])</f>
        <v>50</v>
      </c>
      <c r="K1" s="17">
        <f>SUM(Table1[INVX])</f>
        <v>41</v>
      </c>
      <c r="L1" s="17">
        <f>SUM(Table1[FINANSIA])</f>
        <v>43</v>
      </c>
      <c r="M1" s="17">
        <f>SUM(Table1[DAOL])</f>
        <v>6</v>
      </c>
      <c r="N1" s="17">
        <f>SUM(Table1[PI])</f>
        <v>14</v>
      </c>
      <c r="O1" s="17">
        <f>SUM(Table1[GLOBLEX])</f>
        <v>10</v>
      </c>
      <c r="P1" s="17">
        <f>SUM(Table1[MAYBANK])</f>
        <v>14</v>
      </c>
      <c r="Q1" s="17">
        <f>SUM(Table1[ASL])</f>
        <v>2</v>
      </c>
      <c r="R1" s="17">
        <f>SUM(Table1[AIRA])</f>
        <v>45</v>
      </c>
      <c r="S1" s="17">
        <f>SUM(Table1[KTCIO])</f>
        <v>7</v>
      </c>
      <c r="T1" s="17">
        <f>SUM(Table1[TRINITY])</f>
        <v>105</v>
      </c>
    </row>
    <row r="2" spans="1:52" ht="15.75">
      <c r="B2" t="s">
        <v>202</v>
      </c>
      <c r="J2" s="3" t="s">
        <v>186</v>
      </c>
      <c r="R2" s="3" t="s">
        <v>186</v>
      </c>
      <c r="T2" s="3" t="s">
        <v>186</v>
      </c>
      <c r="Z2" s="1" t="s">
        <v>487</v>
      </c>
      <c r="AE2" s="5" t="s">
        <v>203</v>
      </c>
      <c r="AF2" s="28" t="s">
        <v>206</v>
      </c>
      <c r="AG2" s="28" t="s">
        <v>207</v>
      </c>
      <c r="AH2" s="28" t="s">
        <v>204</v>
      </c>
      <c r="AI2" s="28" t="s">
        <v>210</v>
      </c>
      <c r="AJ2" s="28" t="s">
        <v>209</v>
      </c>
      <c r="AK2" s="34" t="s">
        <v>201</v>
      </c>
      <c r="AL2" s="36" t="s">
        <v>340</v>
      </c>
      <c r="AO2" s="1" t="s">
        <v>487</v>
      </c>
    </row>
    <row r="3" spans="1:52" ht="18.75" customHeight="1">
      <c r="A3" t="s">
        <v>13</v>
      </c>
      <c r="B3">
        <v>9753.48</v>
      </c>
      <c r="C3" s="1" t="s">
        <v>188</v>
      </c>
      <c r="F3" s="31" t="s">
        <v>303</v>
      </c>
      <c r="G3" s="57" t="s">
        <v>0</v>
      </c>
      <c r="H3" s="57" t="s">
        <v>1</v>
      </c>
      <c r="I3" s="57" t="s">
        <v>2</v>
      </c>
      <c r="J3" s="57" t="s">
        <v>3</v>
      </c>
      <c r="K3" s="57" t="s">
        <v>4</v>
      </c>
      <c r="L3" s="57" t="s">
        <v>5</v>
      </c>
      <c r="M3" s="57" t="s">
        <v>6</v>
      </c>
      <c r="N3" s="57" t="s">
        <v>7</v>
      </c>
      <c r="O3" s="57" t="s">
        <v>8</v>
      </c>
      <c r="P3" s="57" t="s">
        <v>9</v>
      </c>
      <c r="Q3" s="57" t="s">
        <v>10</v>
      </c>
      <c r="R3" s="57" t="s">
        <v>11</v>
      </c>
      <c r="S3" s="57" t="s">
        <v>12</v>
      </c>
      <c r="T3" s="57" t="s">
        <v>187</v>
      </c>
      <c r="U3" s="32" t="s">
        <v>200</v>
      </c>
      <c r="V3" s="32" t="s">
        <v>199</v>
      </c>
      <c r="W3" s="33" t="s">
        <v>201</v>
      </c>
      <c r="X3" s="59" t="s">
        <v>488</v>
      </c>
      <c r="Y3" s="4" t="s">
        <v>202</v>
      </c>
      <c r="Z3" s="28" t="s">
        <v>306</v>
      </c>
      <c r="AE3" s="2" t="s">
        <v>1</v>
      </c>
      <c r="AF3" s="9">
        <v>1799722130</v>
      </c>
      <c r="AG3" s="7">
        <v>1598672688</v>
      </c>
      <c r="AH3" s="7">
        <v>678689775</v>
      </c>
      <c r="AI3" s="19">
        <f>SUM(Table2[[#This Row],[2566]:[2567]])</f>
        <v>3398394818</v>
      </c>
      <c r="AJ3" s="19">
        <f>SUM(Table2[[#This Row],[2566]:[2568 (ครึ่งแรก)]])</f>
        <v>4077084593</v>
      </c>
      <c r="AK3" s="17">
        <v>26</v>
      </c>
      <c r="AL3" s="37">
        <v>4</v>
      </c>
      <c r="AO3" s="53" t="s">
        <v>341</v>
      </c>
      <c r="AP3" s="56" t="s">
        <v>212</v>
      </c>
      <c r="AQ3" s="54" t="s">
        <v>342</v>
      </c>
      <c r="AR3" s="55" t="s">
        <v>485</v>
      </c>
      <c r="AS3" s="44"/>
      <c r="AT3" s="44"/>
      <c r="AU3" s="44"/>
      <c r="AW3" s="48" t="s">
        <v>305</v>
      </c>
      <c r="AX3" s="48" t="s">
        <v>306</v>
      </c>
      <c r="AY3" s="49" t="s">
        <v>202</v>
      </c>
      <c r="AZ3" s="47" t="s">
        <v>201</v>
      </c>
    </row>
    <row r="4" spans="1:52" ht="15" customHeight="1">
      <c r="A4" t="s">
        <v>14</v>
      </c>
      <c r="B4">
        <v>71.22</v>
      </c>
      <c r="C4" s="1"/>
      <c r="F4" s="2" t="s">
        <v>13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f t="shared" ref="U4:U35" si="0">SUM(G4:H4,K4:Q4,S4)</f>
        <v>5</v>
      </c>
      <c r="V4">
        <f t="shared" ref="V4:V35" si="1">SUM(J4,R4,T4)</f>
        <v>2</v>
      </c>
      <c r="W4">
        <f>SUM(Table1[[#This Row],[FUNDAMENTAL]:[TECHNICAL]])</f>
        <v>7</v>
      </c>
      <c r="X4">
        <v>2</v>
      </c>
      <c r="Y4" s="52">
        <f t="shared" ref="Y4:Y35" si="2">VLOOKUP(F4,$A$3:$B$174,2,FALSE)</f>
        <v>9753.48</v>
      </c>
      <c r="Z4" s="19">
        <v>249928000</v>
      </c>
      <c r="AE4" s="2" t="s">
        <v>4</v>
      </c>
      <c r="AF4" s="14">
        <v>1185194793</v>
      </c>
      <c r="AG4" s="14">
        <v>1188755004</v>
      </c>
      <c r="AH4" s="14">
        <v>565866241</v>
      </c>
      <c r="AI4" s="19">
        <f>SUM(Table2[[#This Row],[2566]:[2567]])</f>
        <v>2373949797</v>
      </c>
      <c r="AJ4" s="19">
        <f>SUM(Table2[[#This Row],[2566]:[2568 (ครึ่งแรก)]])</f>
        <v>2939816038</v>
      </c>
      <c r="AK4" s="24">
        <v>35</v>
      </c>
      <c r="AL4" s="37">
        <v>4</v>
      </c>
      <c r="AO4" t="s">
        <v>288</v>
      </c>
      <c r="AP4" s="42">
        <v>24</v>
      </c>
      <c r="AQ4" s="50">
        <v>892500</v>
      </c>
      <c r="AR4" s="51">
        <f t="shared" ref="AR4:AR67" si="3">AP4*AQ4</f>
        <v>21420000</v>
      </c>
      <c r="AS4" s="46"/>
      <c r="AT4" s="45"/>
      <c r="AU4" s="45"/>
      <c r="AW4" s="2" t="s">
        <v>55</v>
      </c>
      <c r="AX4" s="19">
        <v>5822432000</v>
      </c>
      <c r="AY4" s="19">
        <f>VLOOKUP(Table5[[#This Row],[สินทรัพย์]],Table1[],19,FALSE)</f>
        <v>1</v>
      </c>
      <c r="AZ4" s="17">
        <f>VLOOKUP(AW4,Table1[[สินทรัพย์อ้างอิง]:[TOTAL PAPER]],18,FALSE)</f>
        <v>2</v>
      </c>
    </row>
    <row r="5" spans="1:52">
      <c r="A5" t="s">
        <v>15</v>
      </c>
      <c r="B5">
        <v>702.3</v>
      </c>
      <c r="C5" s="1" t="s">
        <v>16</v>
      </c>
      <c r="F5" s="2" t="s">
        <v>14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f t="shared" si="0"/>
        <v>0</v>
      </c>
      <c r="V5">
        <f t="shared" si="1"/>
        <v>2</v>
      </c>
      <c r="W5">
        <f>SUM(Table1[[#This Row],[FUNDAMENTAL]:[TECHNICAL]])</f>
        <v>2</v>
      </c>
      <c r="X5">
        <v>1</v>
      </c>
      <c r="Y5" s="52">
        <f t="shared" si="2"/>
        <v>71.22</v>
      </c>
      <c r="Z5" s="19">
        <v>17760900</v>
      </c>
      <c r="AE5" s="2" t="s">
        <v>9</v>
      </c>
      <c r="AF5" s="8">
        <v>1182423613</v>
      </c>
      <c r="AG5" s="8">
        <v>1057015682</v>
      </c>
      <c r="AH5" s="9">
        <v>204909712</v>
      </c>
      <c r="AI5" s="19">
        <f>SUM(Table2[[#This Row],[2566]:[2567]])</f>
        <v>2239439295</v>
      </c>
      <c r="AJ5" s="19">
        <f>SUM(Table2[[#This Row],[2566]:[2568 (ครึ่งแรก)]])</f>
        <v>2444349007</v>
      </c>
      <c r="AK5" s="17">
        <v>14</v>
      </c>
      <c r="AL5" s="38">
        <v>3</v>
      </c>
      <c r="AO5" t="s">
        <v>285</v>
      </c>
      <c r="AP5" s="42">
        <v>2.74</v>
      </c>
      <c r="AQ5" s="50">
        <v>1020000</v>
      </c>
      <c r="AR5" s="51">
        <f t="shared" si="3"/>
        <v>2794800</v>
      </c>
      <c r="AS5" s="46"/>
      <c r="AT5" s="45"/>
      <c r="AU5" s="45"/>
      <c r="AW5" s="2" t="s">
        <v>25</v>
      </c>
      <c r="AX5" s="19">
        <v>4943628270</v>
      </c>
      <c r="AY5" s="19">
        <f>VLOOKUP(Table5[[#This Row],[สินทรัพย์]],Table1[],19,FALSE)</f>
        <v>3</v>
      </c>
      <c r="AZ5" s="17">
        <f>VLOOKUP(AW5,Table1[[สินทรัพย์อ้างอิง]:[TOTAL PAPER]],18,FALSE)</f>
        <v>7</v>
      </c>
    </row>
    <row r="6" spans="1:52">
      <c r="A6" t="s">
        <v>17</v>
      </c>
      <c r="B6">
        <v>3021.22</v>
      </c>
      <c r="C6" s="1"/>
      <c r="F6" s="2" t="s">
        <v>15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f t="shared" si="0"/>
        <v>2</v>
      </c>
      <c r="V6">
        <f t="shared" si="1"/>
        <v>2</v>
      </c>
      <c r="W6">
        <f>SUM(Table1[[#This Row],[FUNDAMENTAL]:[TECHNICAL]])</f>
        <v>4</v>
      </c>
      <c r="X6">
        <v>0</v>
      </c>
      <c r="Y6" s="52">
        <f t="shared" si="2"/>
        <v>702.3</v>
      </c>
      <c r="Z6" s="19">
        <v>47059400</v>
      </c>
      <c r="AE6" s="2" t="s">
        <v>5</v>
      </c>
      <c r="AF6" s="12">
        <v>980160616</v>
      </c>
      <c r="AG6" s="12">
        <v>868822884</v>
      </c>
      <c r="AH6" s="12">
        <v>369299000</v>
      </c>
      <c r="AI6" s="19">
        <f>SUM(Table2[[#This Row],[2566]:[2567]])</f>
        <v>1848983500</v>
      </c>
      <c r="AJ6" s="19">
        <f>SUM(Table2[[#This Row],[2566]:[2568 (ครึ่งแรก)]])</f>
        <v>2218282500</v>
      </c>
      <c r="AK6" s="25">
        <v>42</v>
      </c>
      <c r="AL6" s="37">
        <v>2</v>
      </c>
      <c r="AO6" t="s">
        <v>233</v>
      </c>
      <c r="AP6" s="42">
        <v>8.1999999999999993</v>
      </c>
      <c r="AQ6" s="50">
        <v>27526000</v>
      </c>
      <c r="AR6" s="51">
        <f t="shared" si="3"/>
        <v>225713199.99999997</v>
      </c>
      <c r="AS6" s="46"/>
      <c r="AT6" s="45"/>
      <c r="AU6" s="45"/>
      <c r="AW6" s="2" t="s">
        <v>185</v>
      </c>
      <c r="AX6" s="19">
        <v>4492317280</v>
      </c>
      <c r="AY6" s="19">
        <f>VLOOKUP(Table5[[#This Row],[สินทรัพย์]],Table1[],19,FALSE)</f>
        <v>1</v>
      </c>
      <c r="AZ6" s="17">
        <f>VLOOKUP(AW6,Table1[[สินทรัพย์อ้างอิง]:[TOTAL PAPER]],18,FALSE)</f>
        <v>3</v>
      </c>
    </row>
    <row r="7" spans="1:52">
      <c r="A7" t="s">
        <v>18</v>
      </c>
      <c r="B7">
        <v>67.739999999999995</v>
      </c>
      <c r="C7" s="1"/>
      <c r="F7" s="2" t="s">
        <v>17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f t="shared" si="0"/>
        <v>0</v>
      </c>
      <c r="V7">
        <f t="shared" si="1"/>
        <v>2</v>
      </c>
      <c r="W7">
        <f>SUM(Table1[[#This Row],[FUNDAMENTAL]:[TECHNICAL]])</f>
        <v>2</v>
      </c>
      <c r="X7">
        <v>0</v>
      </c>
      <c r="Y7" s="52">
        <f t="shared" si="2"/>
        <v>3021.22</v>
      </c>
      <c r="Z7" s="19">
        <v>13452516</v>
      </c>
      <c r="AE7" s="2" t="s">
        <v>7</v>
      </c>
      <c r="AF7" s="9">
        <v>983245006</v>
      </c>
      <c r="AG7" s="9">
        <v>852255684</v>
      </c>
      <c r="AH7" s="9">
        <v>362379260</v>
      </c>
      <c r="AI7" s="19">
        <f>SUM(Table2[[#This Row],[2566]:[2567]])</f>
        <v>1835500690</v>
      </c>
      <c r="AJ7" s="19">
        <f>SUM(Table2[[#This Row],[2566]:[2568 (ครึ่งแรก)]])</f>
        <v>2197879950</v>
      </c>
      <c r="AK7" s="23">
        <v>14</v>
      </c>
      <c r="AL7" s="37">
        <v>3</v>
      </c>
      <c r="AO7" t="s">
        <v>283</v>
      </c>
      <c r="AP7" s="42">
        <v>7.3</v>
      </c>
      <c r="AQ7" s="50">
        <v>2433000</v>
      </c>
      <c r="AR7" s="51">
        <f t="shared" si="3"/>
        <v>17760900</v>
      </c>
      <c r="AS7" s="46"/>
      <c r="AT7" s="45"/>
      <c r="AU7" s="45"/>
      <c r="AW7" s="2" t="s">
        <v>60</v>
      </c>
      <c r="AX7" s="19">
        <v>4244535100</v>
      </c>
      <c r="AY7" s="19">
        <f>VLOOKUP(Table5[[#This Row],[สินทรัพย์]],Table1[],19,FALSE)</f>
        <v>1</v>
      </c>
      <c r="AZ7" s="17">
        <f>VLOOKUP(AW7,Table1[[สินทรัพย์อ้างอิง]:[TOTAL PAPER]],18,FALSE)</f>
        <v>4</v>
      </c>
    </row>
    <row r="8" spans="1:52">
      <c r="A8" t="s">
        <v>19</v>
      </c>
      <c r="B8">
        <v>56343.28</v>
      </c>
      <c r="C8" s="1"/>
      <c r="F8" s="2" t="s">
        <v>18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f t="shared" si="0"/>
        <v>1</v>
      </c>
      <c r="V8">
        <f t="shared" si="1"/>
        <v>3</v>
      </c>
      <c r="W8">
        <f>SUM(Table1[[#This Row],[FUNDAMENTAL]:[TECHNICAL]])</f>
        <v>4</v>
      </c>
      <c r="X8">
        <v>2</v>
      </c>
      <c r="Y8" s="52">
        <f t="shared" si="2"/>
        <v>67.739999999999995</v>
      </c>
      <c r="Z8" s="19">
        <v>35597600</v>
      </c>
      <c r="AE8" s="2" t="s">
        <v>3</v>
      </c>
      <c r="AF8" s="13">
        <v>955464654</v>
      </c>
      <c r="AG8" s="13">
        <v>814192031</v>
      </c>
      <c r="AH8" s="6">
        <v>328698898</v>
      </c>
      <c r="AI8" s="19">
        <f>SUM(Table2[[#This Row],[2566]:[2567]])</f>
        <v>1769656685</v>
      </c>
      <c r="AJ8" s="19">
        <f>SUM(Table2[[#This Row],[2566]:[2568 (ครึ่งแรก)]])</f>
        <v>2098355583</v>
      </c>
      <c r="AK8" s="17">
        <v>50</v>
      </c>
      <c r="AL8" s="37">
        <v>3</v>
      </c>
      <c r="AO8" t="s">
        <v>246</v>
      </c>
      <c r="AP8" s="42">
        <v>2.38</v>
      </c>
      <c r="AQ8" s="50">
        <v>630000</v>
      </c>
      <c r="AR8" s="51">
        <f t="shared" si="3"/>
        <v>1499400</v>
      </c>
      <c r="AS8" s="46"/>
      <c r="AT8" s="45"/>
      <c r="AU8" s="45"/>
      <c r="AW8" s="2" t="s">
        <v>28</v>
      </c>
      <c r="AX8" s="19">
        <v>3808771780</v>
      </c>
      <c r="AY8" s="19">
        <f>VLOOKUP(Table5[[#This Row],[สินทรัพย์]],Table1[],19,FALSE)</f>
        <v>3</v>
      </c>
      <c r="AZ8" s="17">
        <f>VLOOKUP(AW8,Table1[[สินทรัพย์อ้างอิง]:[TOTAL PAPER]],18,FALSE)</f>
        <v>7</v>
      </c>
    </row>
    <row r="9" spans="1:52">
      <c r="A9" t="s">
        <v>20</v>
      </c>
      <c r="B9">
        <v>40236.46</v>
      </c>
      <c r="C9" s="1"/>
      <c r="F9" s="2" t="s">
        <v>19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f t="shared" si="0"/>
        <v>2</v>
      </c>
      <c r="V9">
        <f t="shared" si="1"/>
        <v>2</v>
      </c>
      <c r="W9">
        <f>SUM(Table1[[#This Row],[FUNDAMENTAL]:[TECHNICAL]])</f>
        <v>4</v>
      </c>
      <c r="X9">
        <v>1</v>
      </c>
      <c r="Y9" s="52">
        <f t="shared" si="2"/>
        <v>56343.28</v>
      </c>
      <c r="Z9" s="19">
        <v>628970300</v>
      </c>
      <c r="AE9" s="2" t="s">
        <v>2</v>
      </c>
      <c r="AF9" s="12">
        <v>720057419</v>
      </c>
      <c r="AG9" s="13">
        <v>715042500</v>
      </c>
      <c r="AH9" s="29" t="s">
        <v>211</v>
      </c>
      <c r="AI9" s="19">
        <f>SUM(Table2[[#This Row],[2566]:[2567]])</f>
        <v>1435099919</v>
      </c>
      <c r="AJ9" s="19">
        <f>SUM(Table2[[#This Row],[2566]:[2568 (ครึ่งแรก)]])</f>
        <v>1435099919</v>
      </c>
      <c r="AK9" s="17">
        <v>4</v>
      </c>
      <c r="AL9" s="37">
        <v>3</v>
      </c>
      <c r="AO9" t="s">
        <v>228</v>
      </c>
      <c r="AP9" s="42">
        <v>2.68</v>
      </c>
      <c r="AQ9" s="50">
        <v>17000000</v>
      </c>
      <c r="AR9" s="51">
        <f t="shared" si="3"/>
        <v>45560000</v>
      </c>
      <c r="AS9" s="46"/>
      <c r="AT9" s="45"/>
      <c r="AU9" s="45"/>
      <c r="AW9" s="2" t="s">
        <v>118</v>
      </c>
      <c r="AX9" s="19">
        <v>2121073648</v>
      </c>
      <c r="AY9" s="19">
        <f>VLOOKUP(Table5[[#This Row],[สินทรัพย์]],Table1[],19,FALSE)</f>
        <v>3</v>
      </c>
      <c r="AZ9" s="17">
        <f>VLOOKUP(AW9,Table1[[สินทรัพย์อ้างอิง]:[TOTAL PAPER]],18,FALSE)</f>
        <v>7</v>
      </c>
    </row>
    <row r="10" spans="1:52">
      <c r="A10" t="s">
        <v>21</v>
      </c>
      <c r="B10">
        <v>1053.18</v>
      </c>
      <c r="C10" s="1"/>
      <c r="F10" s="2" t="s">
        <v>20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f t="shared" si="0"/>
        <v>4</v>
      </c>
      <c r="V10">
        <f t="shared" si="1"/>
        <v>2</v>
      </c>
      <c r="W10">
        <f>SUM(Table1[[#This Row],[FUNDAMENTAL]:[TECHNICAL]])</f>
        <v>6</v>
      </c>
      <c r="X10">
        <v>2</v>
      </c>
      <c r="Y10" s="52">
        <f t="shared" si="2"/>
        <v>40236.46</v>
      </c>
      <c r="Z10" s="19">
        <v>686518400</v>
      </c>
      <c r="AE10" s="2" t="s">
        <v>0</v>
      </c>
      <c r="AF10" s="11">
        <v>612740111</v>
      </c>
      <c r="AG10" s="11">
        <v>525405571</v>
      </c>
      <c r="AH10" s="11">
        <v>108492291</v>
      </c>
      <c r="AI10" s="19">
        <f>SUM(Table2[[#This Row],[2566]:[2567]])</f>
        <v>1138145682</v>
      </c>
      <c r="AJ10" s="19">
        <f>SUM(Table2[[#This Row],[2566]:[2568 (ครึ่งแรก)]])</f>
        <v>1246637973</v>
      </c>
      <c r="AK10" s="25">
        <v>41</v>
      </c>
      <c r="AL10" s="37">
        <v>2</v>
      </c>
      <c r="AO10" t="s">
        <v>343</v>
      </c>
      <c r="AP10" s="42">
        <v>2.76</v>
      </c>
      <c r="AQ10" s="50">
        <v>4874100</v>
      </c>
      <c r="AR10" s="51">
        <f t="shared" si="3"/>
        <v>13452515.999999998</v>
      </c>
      <c r="AS10" s="46"/>
      <c r="AT10" s="45"/>
      <c r="AU10" s="45"/>
      <c r="AW10" s="2" t="s">
        <v>166</v>
      </c>
      <c r="AX10" s="19">
        <v>1934343200</v>
      </c>
      <c r="AY10" s="19">
        <f>VLOOKUP(Table5[[#This Row],[สินทรัพย์]],Table1[],19,FALSE)</f>
        <v>2</v>
      </c>
      <c r="AZ10" s="17">
        <f>VLOOKUP(AW10,Table1[[สินทรัพย์อ้างอิง]:[TOTAL PAPER]],18,FALSE)</f>
        <v>4</v>
      </c>
    </row>
    <row r="11" spans="1:52">
      <c r="A11" t="s">
        <v>22</v>
      </c>
      <c r="B11">
        <v>582.41999999999996</v>
      </c>
      <c r="C11" s="1"/>
      <c r="F11" s="2" t="s">
        <v>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f t="shared" si="0"/>
        <v>0</v>
      </c>
      <c r="V11">
        <f t="shared" si="1"/>
        <v>0</v>
      </c>
      <c r="W11">
        <f>SUM(Table1[[#This Row],[FUNDAMENTAL]:[TECHNICAL]])</f>
        <v>0</v>
      </c>
      <c r="X11">
        <v>0</v>
      </c>
      <c r="Y11" s="52">
        <f t="shared" si="2"/>
        <v>1053.18</v>
      </c>
      <c r="Z11" s="19">
        <v>14250240</v>
      </c>
      <c r="AE11" s="2" t="s">
        <v>6</v>
      </c>
      <c r="AF11" s="9">
        <v>454246874</v>
      </c>
      <c r="AG11" s="9">
        <v>359017411</v>
      </c>
      <c r="AH11" s="9">
        <v>142457971</v>
      </c>
      <c r="AI11" s="19">
        <f>SUM(Table2[[#This Row],[2566]:[2567]])</f>
        <v>813264285</v>
      </c>
      <c r="AJ11" s="19">
        <f>SUM(Table2[[#This Row],[2566]:[2568 (ครึ่งแรก)]])</f>
        <v>955722256</v>
      </c>
      <c r="AK11" s="23">
        <v>6</v>
      </c>
      <c r="AL11" s="37">
        <v>3</v>
      </c>
      <c r="AO11" t="s">
        <v>344</v>
      </c>
      <c r="AP11" s="42">
        <v>3.4</v>
      </c>
      <c r="AQ11" s="50">
        <v>2000000</v>
      </c>
      <c r="AR11" s="51">
        <f t="shared" si="3"/>
        <v>6800000</v>
      </c>
      <c r="AS11" s="46"/>
      <c r="AT11" s="45"/>
      <c r="AU11" s="45"/>
      <c r="AW11" s="2" t="s">
        <v>90</v>
      </c>
      <c r="AX11" s="19">
        <v>1906123200</v>
      </c>
      <c r="AY11" s="19">
        <f>VLOOKUP(Table5[[#This Row],[สินทรัพย์]],Table1[],19,FALSE)</f>
        <v>2</v>
      </c>
      <c r="AZ11" s="17">
        <f>VLOOKUP(AW11,Table1[[สินทรัพย์อ้างอิง]:[TOTAL PAPER]],18,FALSE)</f>
        <v>6</v>
      </c>
    </row>
    <row r="12" spans="1:52">
      <c r="A12" t="s">
        <v>23</v>
      </c>
      <c r="B12">
        <v>7243.65</v>
      </c>
      <c r="C12" s="1"/>
      <c r="F12" s="2" t="s">
        <v>22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f t="shared" si="0"/>
        <v>1</v>
      </c>
      <c r="V12">
        <f t="shared" si="1"/>
        <v>0</v>
      </c>
      <c r="W12">
        <f>SUM(Table1[[#This Row],[FUNDAMENTAL]:[TECHNICAL]])</f>
        <v>1</v>
      </c>
      <c r="X12">
        <v>1</v>
      </c>
      <c r="Y12" s="52">
        <f t="shared" si="2"/>
        <v>582.41999999999996</v>
      </c>
      <c r="Z12" s="19">
        <v>26835600</v>
      </c>
      <c r="AE12" s="2" t="s">
        <v>11</v>
      </c>
      <c r="AF12" s="12">
        <v>259858603</v>
      </c>
      <c r="AG12" s="12">
        <v>223072381</v>
      </c>
      <c r="AH12" s="12">
        <v>89956000</v>
      </c>
      <c r="AI12" s="19">
        <f>SUM(Table2[[#This Row],[2566]:[2567]])</f>
        <v>482930984</v>
      </c>
      <c r="AJ12" s="19">
        <f>SUM(Table2[[#This Row],[2566]:[2568 (ครึ่งแรก)]])</f>
        <v>572886984</v>
      </c>
      <c r="AK12" s="23">
        <v>45</v>
      </c>
      <c r="AL12" s="37">
        <v>2</v>
      </c>
      <c r="AO12" t="s">
        <v>345</v>
      </c>
      <c r="AP12" s="42">
        <v>3.38</v>
      </c>
      <c r="AQ12" s="50">
        <v>2220000</v>
      </c>
      <c r="AR12" s="51">
        <f t="shared" si="3"/>
        <v>7503600</v>
      </c>
      <c r="AS12" s="46"/>
      <c r="AT12" s="45"/>
      <c r="AU12" s="45"/>
      <c r="AW12" s="2" t="s">
        <v>34</v>
      </c>
      <c r="AX12" s="19">
        <v>1875560320</v>
      </c>
      <c r="AY12" s="19">
        <f>VLOOKUP(Table5[[#This Row],[สินทรัพย์]],Table1[],19,FALSE)</f>
        <v>3</v>
      </c>
      <c r="AZ12" s="17">
        <f>VLOOKUP(AW12,Table1[[สินทรัพย์อ้างอิง]:[TOTAL PAPER]],18,FALSE)</f>
        <v>6</v>
      </c>
    </row>
    <row r="13" spans="1:52">
      <c r="A13" t="s">
        <v>24</v>
      </c>
      <c r="B13">
        <v>6327.56</v>
      </c>
      <c r="C13" s="1"/>
      <c r="F13" s="2" t="s">
        <v>23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f t="shared" si="0"/>
        <v>2</v>
      </c>
      <c r="V13">
        <f t="shared" si="1"/>
        <v>2</v>
      </c>
      <c r="W13">
        <f>SUM(Table1[[#This Row],[FUNDAMENTAL]:[TECHNICAL]])</f>
        <v>4</v>
      </c>
      <c r="X13" s="58">
        <v>1</v>
      </c>
      <c r="Y13" s="52">
        <f t="shared" si="2"/>
        <v>7243.65</v>
      </c>
      <c r="Z13" s="19">
        <v>483424200</v>
      </c>
      <c r="AE13" s="2" t="s">
        <v>8</v>
      </c>
      <c r="AF13" s="7">
        <v>214473625</v>
      </c>
      <c r="AG13" s="7">
        <v>188727779</v>
      </c>
      <c r="AH13" s="10">
        <v>72051866</v>
      </c>
      <c r="AI13" s="19">
        <f>SUM(Table2[[#This Row],[2566]:[2567]])</f>
        <v>403201404</v>
      </c>
      <c r="AJ13" s="19">
        <f>SUM(Table2[[#This Row],[2566]:[2568 (ครึ่งแรก)]])</f>
        <v>475253270</v>
      </c>
      <c r="AK13" s="17">
        <v>10</v>
      </c>
      <c r="AL13" s="37">
        <v>2</v>
      </c>
      <c r="AO13" t="s">
        <v>346</v>
      </c>
      <c r="AP13" s="42">
        <v>2.6</v>
      </c>
      <c r="AQ13" s="50">
        <v>8190000</v>
      </c>
      <c r="AR13" s="51">
        <f t="shared" si="3"/>
        <v>21294000</v>
      </c>
      <c r="AS13" s="46"/>
      <c r="AT13" s="45"/>
      <c r="AU13" s="45"/>
      <c r="AW13" s="2" t="s">
        <v>126</v>
      </c>
      <c r="AX13" s="19">
        <v>1771244000</v>
      </c>
      <c r="AY13" s="19">
        <f>VLOOKUP(Table5[[#This Row],[สินทรัพย์]],Table1[],19,FALSE)</f>
        <v>2</v>
      </c>
      <c r="AZ13" s="17">
        <f>VLOOKUP(AW13,Table1[[สินทรัพย์อ้างอิง]:[TOTAL PAPER]],18,FALSE)</f>
        <v>3</v>
      </c>
    </row>
    <row r="14" spans="1:52">
      <c r="A14" t="s">
        <v>25</v>
      </c>
      <c r="B14">
        <v>161897.45000000001</v>
      </c>
      <c r="C14" s="1"/>
      <c r="F14" s="2" t="s">
        <v>24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f t="shared" si="0"/>
        <v>4</v>
      </c>
      <c r="V14">
        <f t="shared" si="1"/>
        <v>2</v>
      </c>
      <c r="W14">
        <f>SUM(Table1[[#This Row],[FUNDAMENTAL]:[TECHNICAL]])</f>
        <v>6</v>
      </c>
      <c r="X14">
        <v>1</v>
      </c>
      <c r="Y14" s="52">
        <f t="shared" si="2"/>
        <v>6327.56</v>
      </c>
      <c r="Z14" s="19">
        <v>228477100</v>
      </c>
      <c r="AE14" s="2" t="s">
        <v>187</v>
      </c>
      <c r="AF14" s="7">
        <v>159697452</v>
      </c>
      <c r="AG14" s="7">
        <v>168267902</v>
      </c>
      <c r="AH14" s="14">
        <v>70197563</v>
      </c>
      <c r="AI14" s="19">
        <f>SUM(Table2[[#This Row],[2566]:[2567]])</f>
        <v>327965354</v>
      </c>
      <c r="AJ14" s="19">
        <f>SUM(Table2[[#This Row],[2566]:[2568 (ครึ่งแรก)]])</f>
        <v>398162917</v>
      </c>
      <c r="AK14" s="23">
        <v>105</v>
      </c>
      <c r="AL14" s="37">
        <v>1</v>
      </c>
      <c r="AO14" t="s">
        <v>213</v>
      </c>
      <c r="AP14" s="42">
        <v>1.31</v>
      </c>
      <c r="AQ14" s="50">
        <v>480130000</v>
      </c>
      <c r="AR14" s="51">
        <f t="shared" si="3"/>
        <v>628970300</v>
      </c>
      <c r="AS14" s="46"/>
      <c r="AT14" s="45"/>
      <c r="AU14" s="45"/>
      <c r="AW14" s="2" t="s">
        <v>183</v>
      </c>
      <c r="AX14" s="19">
        <v>1643883522</v>
      </c>
      <c r="AY14" s="19">
        <f>VLOOKUP(Table5[[#This Row],[สินทรัพย์]],Table1[],19,FALSE)</f>
        <v>1</v>
      </c>
      <c r="AZ14" s="17">
        <f>VLOOKUP(AW14,Table1[[สินทรัพย์อ้างอิง]:[TOTAL PAPER]],18,FALSE)</f>
        <v>8</v>
      </c>
    </row>
    <row r="15" spans="1:52">
      <c r="A15" t="s">
        <v>26</v>
      </c>
      <c r="B15">
        <v>15.03</v>
      </c>
      <c r="C15" s="1" t="s">
        <v>32</v>
      </c>
      <c r="F15" s="2" t="s">
        <v>25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f t="shared" si="0"/>
        <v>5</v>
      </c>
      <c r="V15">
        <f t="shared" si="1"/>
        <v>2</v>
      </c>
      <c r="W15">
        <f>SUM(Table1[[#This Row],[FUNDAMENTAL]:[TECHNICAL]])</f>
        <v>7</v>
      </c>
      <c r="X15">
        <v>3</v>
      </c>
      <c r="Y15" s="52">
        <f t="shared" si="2"/>
        <v>161897.45000000001</v>
      </c>
      <c r="Z15" s="19">
        <v>4943628270</v>
      </c>
      <c r="AE15" s="2" t="s">
        <v>10</v>
      </c>
      <c r="AF15" s="9">
        <v>112560832</v>
      </c>
      <c r="AG15" s="9">
        <v>88065221</v>
      </c>
      <c r="AH15" s="9">
        <v>36361199</v>
      </c>
      <c r="AI15" s="19">
        <f>SUM(Table2[[#This Row],[2566]:[2567]])</f>
        <v>200626053</v>
      </c>
      <c r="AJ15" s="19">
        <f>SUM(Table2[[#This Row],[2566]:[2568 (ครึ่งแรก)]])</f>
        <v>236987252</v>
      </c>
      <c r="AK15" s="23">
        <v>2</v>
      </c>
      <c r="AL15" s="37">
        <v>1</v>
      </c>
      <c r="AO15" t="s">
        <v>265</v>
      </c>
      <c r="AP15" s="42">
        <v>22.2</v>
      </c>
      <c r="AQ15" s="50">
        <v>1992400</v>
      </c>
      <c r="AR15" s="51">
        <f t="shared" si="3"/>
        <v>44231280</v>
      </c>
      <c r="AS15" s="46"/>
      <c r="AT15" s="45"/>
      <c r="AU15" s="45"/>
      <c r="AW15" s="2" t="s">
        <v>161</v>
      </c>
      <c r="AX15" s="19">
        <v>1504947440</v>
      </c>
      <c r="AY15" s="19">
        <f>VLOOKUP(Table5[[#This Row],[สินทรัพย์]],Table1[],19,FALSE)</f>
        <v>3</v>
      </c>
      <c r="AZ15" s="17">
        <f>VLOOKUP(AW15,Table1[[สินทรัพย์อ้างอิง]:[TOTAL PAPER]],18,FALSE)</f>
        <v>6</v>
      </c>
    </row>
    <row r="16" spans="1:52">
      <c r="A16" t="s">
        <v>27</v>
      </c>
      <c r="B16">
        <v>95.09</v>
      </c>
      <c r="C16" s="1"/>
      <c r="F16" s="2" t="s">
        <v>26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f t="shared" si="0"/>
        <v>0</v>
      </c>
      <c r="V16">
        <f t="shared" si="1"/>
        <v>0</v>
      </c>
      <c r="W16">
        <f>SUM(Table1[[#This Row],[FUNDAMENTAL]:[TECHNICAL]])</f>
        <v>0</v>
      </c>
      <c r="X16">
        <v>1</v>
      </c>
      <c r="Y16" s="52">
        <f t="shared" si="2"/>
        <v>15.03</v>
      </c>
      <c r="Z16" s="19">
        <v>17850000</v>
      </c>
      <c r="AO16" t="s">
        <v>248</v>
      </c>
      <c r="AP16" s="42">
        <v>1.9</v>
      </c>
      <c r="AQ16" s="50">
        <v>20500000</v>
      </c>
      <c r="AR16" s="51">
        <f t="shared" si="3"/>
        <v>38950000</v>
      </c>
      <c r="AS16" s="46"/>
      <c r="AT16" s="45"/>
      <c r="AU16" s="45"/>
      <c r="AW16" s="2" t="s">
        <v>129</v>
      </c>
      <c r="AX16" s="19">
        <v>1017906400</v>
      </c>
      <c r="AY16" s="19">
        <f>VLOOKUP(Table5[[#This Row],[สินทรัพย์]],Table1[],19,FALSE)</f>
        <v>0</v>
      </c>
      <c r="AZ16" s="17">
        <f>VLOOKUP(AW16,Table1[[สินทรัพย์อ้างอิง]:[TOTAL PAPER]],18,FALSE)</f>
        <v>2</v>
      </c>
    </row>
    <row r="17" spans="1:52">
      <c r="A17" t="s">
        <v>28</v>
      </c>
      <c r="B17">
        <v>108263.87</v>
      </c>
      <c r="C17" s="1"/>
      <c r="F17" s="2" t="s">
        <v>27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f t="shared" si="0"/>
        <v>0</v>
      </c>
      <c r="V17">
        <f t="shared" si="1"/>
        <v>0</v>
      </c>
      <c r="W17">
        <f>SUM(Table1[[#This Row],[FUNDAMENTAL]:[TECHNICAL]])</f>
        <v>0</v>
      </c>
      <c r="X17">
        <v>0</v>
      </c>
      <c r="Y17" s="52">
        <f t="shared" si="2"/>
        <v>95.09</v>
      </c>
      <c r="Z17" s="19">
        <v>7420000</v>
      </c>
      <c r="AO17" t="s">
        <v>214</v>
      </c>
      <c r="AP17" s="42">
        <v>1.88</v>
      </c>
      <c r="AQ17" s="50">
        <v>320924000</v>
      </c>
      <c r="AR17" s="51">
        <f t="shared" si="3"/>
        <v>603337120</v>
      </c>
      <c r="AS17" s="45"/>
      <c r="AT17" s="45"/>
      <c r="AU17" s="45"/>
      <c r="AW17" s="2" t="s">
        <v>54</v>
      </c>
      <c r="AX17" s="19">
        <v>939399532</v>
      </c>
      <c r="AY17" s="19">
        <f>VLOOKUP(Table5[[#This Row],[สินทรัพย์]],Table1[],19,FALSE)</f>
        <v>0</v>
      </c>
      <c r="AZ17" s="17">
        <f>VLOOKUP(AW17,Table1[[สินทรัพย์อ้างอิง]:[TOTAL PAPER]],18,FALSE)</f>
        <v>2</v>
      </c>
    </row>
    <row r="18" spans="1:52">
      <c r="A18" t="s">
        <v>29</v>
      </c>
      <c r="B18">
        <v>734.98</v>
      </c>
      <c r="C18" s="1"/>
      <c r="F18" s="2" t="s">
        <v>28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f t="shared" si="0"/>
        <v>4</v>
      </c>
      <c r="V18">
        <f t="shared" si="1"/>
        <v>3</v>
      </c>
      <c r="W18">
        <f>SUM(Table1[[#This Row],[FUNDAMENTAL]:[TECHNICAL]])</f>
        <v>7</v>
      </c>
      <c r="X18">
        <v>3</v>
      </c>
      <c r="Y18" s="52">
        <f t="shared" si="2"/>
        <v>108263.87</v>
      </c>
      <c r="Z18" s="19">
        <v>3808771780</v>
      </c>
      <c r="AN18" s="43"/>
      <c r="AO18" t="s">
        <v>486</v>
      </c>
      <c r="AP18" s="42">
        <v>1.98</v>
      </c>
      <c r="AQ18" s="50">
        <v>680000</v>
      </c>
      <c r="AR18" s="51">
        <f t="shared" si="3"/>
        <v>1346400</v>
      </c>
      <c r="AS18" s="46"/>
      <c r="AT18" s="45"/>
      <c r="AU18" s="45"/>
      <c r="AW18" s="2" t="s">
        <v>105</v>
      </c>
      <c r="AX18" s="19">
        <v>797628984</v>
      </c>
      <c r="AY18" s="19">
        <f>VLOOKUP(Table5[[#This Row],[สินทรัพย์]],Table1[],19,FALSE)</f>
        <v>2</v>
      </c>
      <c r="AZ18" s="17">
        <f>VLOOKUP(AW18,Table1[[สินทรัพย์อ้างอิง]:[TOTAL PAPER]],18,FALSE)</f>
        <v>5</v>
      </c>
    </row>
    <row r="19" spans="1:52">
      <c r="A19" t="s">
        <v>30</v>
      </c>
      <c r="B19">
        <v>354.25</v>
      </c>
      <c r="C19" s="1"/>
      <c r="F19" s="2" t="s">
        <v>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f t="shared" si="0"/>
        <v>0</v>
      </c>
      <c r="V19">
        <f t="shared" si="1"/>
        <v>1</v>
      </c>
      <c r="W19">
        <f>SUM(Table1[[#This Row],[FUNDAMENTAL]:[TECHNICAL]])</f>
        <v>1</v>
      </c>
      <c r="X19">
        <v>1</v>
      </c>
      <c r="Y19" s="52">
        <f t="shared" si="2"/>
        <v>734.98</v>
      </c>
      <c r="Z19" s="19">
        <v>33164000</v>
      </c>
      <c r="AO19" t="s">
        <v>347</v>
      </c>
      <c r="AP19" s="42">
        <v>2.06</v>
      </c>
      <c r="AQ19" s="50">
        <v>6264000</v>
      </c>
      <c r="AR19" s="51">
        <f t="shared" si="3"/>
        <v>12903840</v>
      </c>
      <c r="AS19" s="46"/>
      <c r="AT19" s="45"/>
      <c r="AU19" s="45"/>
      <c r="AW19" s="2" t="s">
        <v>100</v>
      </c>
      <c r="AX19" s="19">
        <v>788783450</v>
      </c>
      <c r="AY19" s="19">
        <f>VLOOKUP(Table5[[#This Row],[สินทรัพย์]],Table1[],19,FALSE)</f>
        <v>2</v>
      </c>
      <c r="AZ19" s="17">
        <f>VLOOKUP(AW19,Table1[[สินทรัพย์อ้างอิง]:[TOTAL PAPER]],18,FALSE)</f>
        <v>6</v>
      </c>
    </row>
    <row r="20" spans="1:52">
      <c r="A20" t="s">
        <v>31</v>
      </c>
      <c r="B20">
        <v>2058.0300000000002</v>
      </c>
      <c r="C20" s="1" t="s">
        <v>32</v>
      </c>
      <c r="F20" s="2" t="s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f t="shared" si="0"/>
        <v>0</v>
      </c>
      <c r="V20">
        <f t="shared" si="1"/>
        <v>0</v>
      </c>
      <c r="W20">
        <f>SUM(Table1[[#This Row],[FUNDAMENTAL]:[TECHNICAL]])</f>
        <v>0</v>
      </c>
      <c r="X20">
        <v>0</v>
      </c>
      <c r="Y20" s="52">
        <f t="shared" si="2"/>
        <v>354.25</v>
      </c>
      <c r="Z20" s="19">
        <v>19217187.5</v>
      </c>
      <c r="AO20" t="s">
        <v>348</v>
      </c>
      <c r="AP20" s="42">
        <v>2.14</v>
      </c>
      <c r="AQ20" s="50">
        <v>12540000</v>
      </c>
      <c r="AR20" s="51">
        <f t="shared" si="3"/>
        <v>26835600</v>
      </c>
      <c r="AS20" s="46"/>
      <c r="AT20" s="45"/>
      <c r="AU20" s="45"/>
      <c r="AW20" s="2" t="s">
        <v>20</v>
      </c>
      <c r="AX20" s="19">
        <v>686518400</v>
      </c>
      <c r="AY20" s="19">
        <f>VLOOKUP(Table5[[#This Row],[สินทรัพย์]],Table1[],19,FALSE)</f>
        <v>2</v>
      </c>
      <c r="AZ20" s="17">
        <f>VLOOKUP(AW20,Table1[[สินทรัพย์อ้างอิง]:[TOTAL PAPER]],18,FALSE)</f>
        <v>6</v>
      </c>
    </row>
    <row r="21" spans="1:52">
      <c r="A21" t="s">
        <v>33</v>
      </c>
      <c r="B21">
        <v>2536.4299999999998</v>
      </c>
      <c r="C21" s="1"/>
      <c r="F21" s="2" t="s">
        <v>31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f t="shared" si="0"/>
        <v>4</v>
      </c>
      <c r="V21">
        <f t="shared" si="1"/>
        <v>3</v>
      </c>
      <c r="W21">
        <f>SUM(Table1[[#This Row],[FUNDAMENTAL]:[TECHNICAL]])</f>
        <v>7</v>
      </c>
      <c r="X21">
        <v>1</v>
      </c>
      <c r="Y21" s="52">
        <f t="shared" si="2"/>
        <v>2058.0300000000002</v>
      </c>
      <c r="Z21" s="19">
        <v>360999600</v>
      </c>
      <c r="AO21" t="s">
        <v>275</v>
      </c>
      <c r="AP21" s="42">
        <v>31.5</v>
      </c>
      <c r="AQ21" s="50">
        <v>15346800</v>
      </c>
      <c r="AR21" s="51">
        <f t="shared" si="3"/>
        <v>483424200</v>
      </c>
      <c r="AS21" s="46"/>
      <c r="AT21" s="45"/>
      <c r="AU21" s="45"/>
      <c r="AW21" s="2" t="s">
        <v>19</v>
      </c>
      <c r="AX21" s="19">
        <v>628970300</v>
      </c>
      <c r="AY21" s="19">
        <f>VLOOKUP(Table5[[#This Row],[สินทรัพย์]],Table1[],19,FALSE)</f>
        <v>1</v>
      </c>
      <c r="AZ21" s="17">
        <f>VLOOKUP(AW21,Table1[[สินทรัพย์อ้างอิง]:[TOTAL PAPER]],18,FALSE)</f>
        <v>4</v>
      </c>
    </row>
    <row r="22" spans="1:52" ht="15.75">
      <c r="A22" t="s">
        <v>39</v>
      </c>
      <c r="B22">
        <f>105.18+15.44</f>
        <v>120.62</v>
      </c>
      <c r="C22" s="1"/>
      <c r="F22" s="2" t="s">
        <v>33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f t="shared" si="0"/>
        <v>4</v>
      </c>
      <c r="V22">
        <f t="shared" si="1"/>
        <v>3</v>
      </c>
      <c r="W22">
        <f>SUM(Table1[[#This Row],[FUNDAMENTAL]:[TECHNICAL]])</f>
        <v>7</v>
      </c>
      <c r="X22">
        <v>2</v>
      </c>
      <c r="Y22" s="52">
        <f t="shared" si="2"/>
        <v>2536.4299999999998</v>
      </c>
      <c r="Z22" s="19">
        <v>382342200</v>
      </c>
      <c r="AE22" s="5" t="s">
        <v>304</v>
      </c>
      <c r="AF22" s="28" t="s">
        <v>206</v>
      </c>
      <c r="AG22" s="28" t="s">
        <v>207</v>
      </c>
      <c r="AH22" s="28" t="s">
        <v>204</v>
      </c>
      <c r="AI22" s="28" t="s">
        <v>210</v>
      </c>
      <c r="AJ22" s="28" t="s">
        <v>208</v>
      </c>
      <c r="AK22" s="15" t="s">
        <v>201</v>
      </c>
      <c r="AL22" s="39" t="s">
        <v>340</v>
      </c>
      <c r="AO22" t="s">
        <v>225</v>
      </c>
      <c r="AP22" s="42">
        <v>2.14</v>
      </c>
      <c r="AQ22" s="50">
        <v>106765000</v>
      </c>
      <c r="AR22" s="51">
        <f t="shared" si="3"/>
        <v>228477100</v>
      </c>
      <c r="AS22" s="45"/>
      <c r="AT22" s="45"/>
      <c r="AU22" s="45"/>
      <c r="AW22" s="2" t="s">
        <v>110</v>
      </c>
      <c r="AX22" s="19">
        <v>599004000</v>
      </c>
      <c r="AY22" s="19">
        <f>VLOOKUP(Table5[[#This Row],[สินทรัพย์]],Table1[],19,FALSE)</f>
        <v>1</v>
      </c>
      <c r="AZ22" s="17">
        <f>VLOOKUP(AW22,Table1[[สินทรัพย์อ้างอิง]:[TOTAL PAPER]],18,FALSE)</f>
        <v>2</v>
      </c>
    </row>
    <row r="23" spans="1:52">
      <c r="A23" t="s">
        <v>45</v>
      </c>
      <c r="B23">
        <v>4583.04</v>
      </c>
      <c r="C23" s="1"/>
      <c r="F23" s="2" t="s">
        <v>34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f t="shared" si="0"/>
        <v>4</v>
      </c>
      <c r="V23">
        <f t="shared" si="1"/>
        <v>2</v>
      </c>
      <c r="W23">
        <f>SUM(Table1[[#This Row],[FUNDAMENTAL]:[TECHNICAL]])</f>
        <v>6</v>
      </c>
      <c r="X23">
        <v>3</v>
      </c>
      <c r="Y23" s="52">
        <f t="shared" si="2"/>
        <v>39774.400000000001</v>
      </c>
      <c r="Z23" s="19">
        <v>1875560320</v>
      </c>
      <c r="AE23" s="2" t="s">
        <v>4</v>
      </c>
      <c r="AF23" s="14">
        <v>538735224</v>
      </c>
      <c r="AG23" s="14">
        <v>1188755044</v>
      </c>
      <c r="AH23" s="14">
        <v>564478611</v>
      </c>
      <c r="AI23" s="22">
        <f>SUM(Table3[[#This Row],[2566]:[2567]])</f>
        <v>1727490268</v>
      </c>
      <c r="AJ23" s="22">
        <f>SUM(Table3[[#This Row],[2566]:[SUM Rev 66-67]])</f>
        <v>4019459147</v>
      </c>
      <c r="AK23" s="24">
        <v>35</v>
      </c>
      <c r="AL23" s="40">
        <v>4</v>
      </c>
      <c r="AO23" t="s">
        <v>349</v>
      </c>
      <c r="AP23" s="42">
        <v>13.1</v>
      </c>
      <c r="AQ23" s="50">
        <v>6987200</v>
      </c>
      <c r="AR23" s="51">
        <f t="shared" si="3"/>
        <v>91532320</v>
      </c>
      <c r="AS23" s="46"/>
      <c r="AT23" s="45"/>
      <c r="AU23" s="45"/>
      <c r="AW23" s="2" t="s">
        <v>165</v>
      </c>
      <c r="AX23" s="19">
        <v>571796000</v>
      </c>
      <c r="AY23" s="19">
        <f>VLOOKUP(Table5[[#This Row],[สินทรัพย์]],Table1[],19,FALSE)</f>
        <v>2</v>
      </c>
      <c r="AZ23" s="17">
        <f>VLOOKUP(AW23,Table1[[สินทรัพย์อ้างอิง]:[TOTAL PAPER]],18,FALSE)</f>
        <v>4</v>
      </c>
    </row>
    <row r="24" spans="1:52">
      <c r="A24" t="s">
        <v>82</v>
      </c>
      <c r="B24">
        <v>13.79</v>
      </c>
      <c r="C24" s="1"/>
      <c r="F24" s="2" t="s">
        <v>35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f t="shared" si="0"/>
        <v>1</v>
      </c>
      <c r="V24">
        <f t="shared" si="1"/>
        <v>2</v>
      </c>
      <c r="W24">
        <f>SUM(Table1[[#This Row],[FUNDAMENTAL]:[TECHNICAL]])</f>
        <v>3</v>
      </c>
      <c r="X24">
        <v>1</v>
      </c>
      <c r="Y24" s="52">
        <f t="shared" si="2"/>
        <v>965.49</v>
      </c>
      <c r="Z24" s="19">
        <v>22440600</v>
      </c>
      <c r="AE24" s="2" t="s">
        <v>6</v>
      </c>
      <c r="AF24" s="9">
        <v>711063416</v>
      </c>
      <c r="AG24" s="9">
        <v>843115325</v>
      </c>
      <c r="AH24" s="9">
        <v>401377868</v>
      </c>
      <c r="AI24" s="22">
        <f>SUM(Table3[[#This Row],[2566]:[2567]])</f>
        <v>1554178741</v>
      </c>
      <c r="AJ24" s="22">
        <f>SUM(Table3[[#This Row],[2566]:[SUM Rev 66-67]])</f>
        <v>3509735350</v>
      </c>
      <c r="AK24" s="26">
        <v>6</v>
      </c>
      <c r="AL24" s="40">
        <v>3</v>
      </c>
      <c r="AO24" t="s">
        <v>350</v>
      </c>
      <c r="AP24" s="42">
        <v>5.75</v>
      </c>
      <c r="AQ24" s="50">
        <v>4000000</v>
      </c>
      <c r="AR24" s="51">
        <f t="shared" si="3"/>
        <v>23000000</v>
      </c>
      <c r="AS24" s="46"/>
      <c r="AT24" s="45"/>
      <c r="AU24" s="45"/>
      <c r="AW24" s="2" t="s">
        <v>45</v>
      </c>
      <c r="AX24" s="19">
        <v>570238078</v>
      </c>
      <c r="AY24" s="19">
        <f>VLOOKUP(Table5[[#This Row],[สินทรัพย์]],Table1[],19,FALSE)</f>
        <v>1</v>
      </c>
      <c r="AZ24" s="17">
        <f>VLOOKUP(AW24,Table1[[สินทรัพย์อ้างอิง]:[TOTAL PAPER]],18,FALSE)</f>
        <v>3</v>
      </c>
    </row>
    <row r="25" spans="1:52">
      <c r="A25" t="s">
        <v>77</v>
      </c>
      <c r="B25">
        <v>2499.7800000000002</v>
      </c>
      <c r="C25" s="1"/>
      <c r="F25" s="2" t="s">
        <v>36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f t="shared" si="0"/>
        <v>1</v>
      </c>
      <c r="V25">
        <f t="shared" si="1"/>
        <v>2</v>
      </c>
      <c r="W25">
        <f>SUM(Table1[[#This Row],[FUNDAMENTAL]:[TECHNICAL]])</f>
        <v>3</v>
      </c>
      <c r="X25">
        <v>1</v>
      </c>
      <c r="Y25" s="52">
        <f t="shared" si="2"/>
        <v>1306.99</v>
      </c>
      <c r="Z25" s="19">
        <v>56495800</v>
      </c>
      <c r="AE25" s="2" t="s">
        <v>1</v>
      </c>
      <c r="AF25" s="7">
        <v>686925479</v>
      </c>
      <c r="AG25" s="7">
        <v>647853515</v>
      </c>
      <c r="AH25" s="7">
        <v>102273401</v>
      </c>
      <c r="AI25" s="22">
        <f>SUM(Table3[[#This Row],[2566]:[2567]])</f>
        <v>1334778994</v>
      </c>
      <c r="AJ25" s="22">
        <f>SUM(Table3[[#This Row],[2566]:[SUM Rev 66-67]])</f>
        <v>2771831389</v>
      </c>
      <c r="AK25" s="27">
        <v>26</v>
      </c>
      <c r="AL25" s="40">
        <v>4</v>
      </c>
      <c r="AO25" t="s">
        <v>351</v>
      </c>
      <c r="AP25" s="42">
        <v>2.42</v>
      </c>
      <c r="AQ25" s="50">
        <v>10050000</v>
      </c>
      <c r="AR25" s="51">
        <f t="shared" si="3"/>
        <v>24321000</v>
      </c>
      <c r="AS25" s="46"/>
      <c r="AT25" s="45"/>
      <c r="AU25" s="45"/>
      <c r="AW25" s="2" t="s">
        <v>140</v>
      </c>
      <c r="AX25" s="19">
        <v>508568900</v>
      </c>
      <c r="AY25" s="19">
        <f>VLOOKUP(Table5[[#This Row],[สินทรัพย์]],Table1[],19,FALSE)</f>
        <v>1</v>
      </c>
      <c r="AZ25" s="17">
        <f>VLOOKUP(AW25,Table1[[สินทรัพย์อ้างอิง]:[TOTAL PAPER]],18,FALSE)</f>
        <v>5</v>
      </c>
    </row>
    <row r="26" spans="1:52">
      <c r="A26" t="s">
        <v>110</v>
      </c>
      <c r="B26">
        <v>2102.9899999999998</v>
      </c>
      <c r="C26" s="1"/>
      <c r="F26" s="2" t="s">
        <v>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f t="shared" si="0"/>
        <v>0</v>
      </c>
      <c r="V26">
        <f t="shared" si="1"/>
        <v>0</v>
      </c>
      <c r="W26">
        <f>SUM(Table1[[#This Row],[FUNDAMENTAL]:[TECHNICAL]])</f>
        <v>0</v>
      </c>
      <c r="X26">
        <v>0</v>
      </c>
      <c r="Y26" s="52">
        <f t="shared" si="2"/>
        <v>1272.05</v>
      </c>
      <c r="Z26" s="19">
        <v>34719420</v>
      </c>
      <c r="AE26" s="2" t="s">
        <v>3</v>
      </c>
      <c r="AF26" s="13">
        <v>291923271</v>
      </c>
      <c r="AG26" s="13">
        <v>313233645</v>
      </c>
      <c r="AH26" s="6">
        <v>124970393</v>
      </c>
      <c r="AI26" s="22">
        <f>SUM(Table3[[#This Row],[2566]:[2567]])</f>
        <v>605156916</v>
      </c>
      <c r="AJ26" s="22">
        <f>SUM(Table3[[#This Row],[2566]:[SUM Rev 66-67]])</f>
        <v>1335284225</v>
      </c>
      <c r="AK26" s="27">
        <v>50</v>
      </c>
      <c r="AL26" s="40">
        <v>3</v>
      </c>
      <c r="AO26" t="s">
        <v>352</v>
      </c>
      <c r="AP26" s="42">
        <v>3.82</v>
      </c>
      <c r="AQ26" s="50">
        <v>25860000</v>
      </c>
      <c r="AR26" s="51">
        <f t="shared" si="3"/>
        <v>98785200</v>
      </c>
      <c r="AS26" s="46"/>
      <c r="AT26" s="45"/>
      <c r="AU26" s="45"/>
      <c r="AW26" s="2" t="s">
        <v>23</v>
      </c>
      <c r="AX26" s="19">
        <v>483424200</v>
      </c>
      <c r="AY26" s="19">
        <f>VLOOKUP(Table5[[#This Row],[สินทรัพย์]],Table1[],19,FALSE)</f>
        <v>1</v>
      </c>
      <c r="AZ26" s="17">
        <f>VLOOKUP(AW26,Table1[[สินทรัพย์อ้างอิง]:[TOTAL PAPER]],18,FALSE)</f>
        <v>4</v>
      </c>
    </row>
    <row r="27" spans="1:52">
      <c r="A27" t="s">
        <v>34</v>
      </c>
      <c r="B27">
        <v>39774.400000000001</v>
      </c>
      <c r="C27" s="1"/>
      <c r="F27" s="2" t="s">
        <v>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f t="shared" si="0"/>
        <v>0</v>
      </c>
      <c r="V27">
        <f t="shared" si="1"/>
        <v>0</v>
      </c>
      <c r="W27">
        <f>SUM(Table1[[#This Row],[FUNDAMENTAL]:[TECHNICAL]])</f>
        <v>0</v>
      </c>
      <c r="X27">
        <v>0</v>
      </c>
      <c r="Y27" s="52">
        <f t="shared" si="2"/>
        <v>10.07</v>
      </c>
      <c r="Z27" s="19">
        <v>3973356</v>
      </c>
      <c r="AE27" s="2" t="s">
        <v>2</v>
      </c>
      <c r="AF27" s="12">
        <v>237439521</v>
      </c>
      <c r="AG27" s="13">
        <v>321718853</v>
      </c>
      <c r="AH27" s="29" t="s">
        <v>211</v>
      </c>
      <c r="AI27" s="22">
        <f>SUM(Table3[[#This Row],[2566]:[2567]])</f>
        <v>559158374</v>
      </c>
      <c r="AJ27" s="22">
        <f>SUM(Table3[[#This Row],[2566]:[SUM Rev 66-67]])</f>
        <v>1118316748</v>
      </c>
      <c r="AK27" s="27">
        <v>4</v>
      </c>
      <c r="AL27" s="40">
        <v>3</v>
      </c>
      <c r="AO27" t="s">
        <v>353</v>
      </c>
      <c r="AP27" s="42">
        <v>5.75</v>
      </c>
      <c r="AQ27" s="50">
        <v>818433000</v>
      </c>
      <c r="AR27" s="51">
        <f t="shared" si="3"/>
        <v>4705989750</v>
      </c>
      <c r="AS27" s="46"/>
      <c r="AT27" s="45"/>
      <c r="AU27" s="45"/>
      <c r="AW27" s="2" t="s">
        <v>83</v>
      </c>
      <c r="AX27" s="19">
        <v>454747500</v>
      </c>
      <c r="AY27" s="19">
        <f>VLOOKUP(Table5[[#This Row],[สินทรัพย์]],Table1[],19,FALSE)</f>
        <v>1</v>
      </c>
      <c r="AZ27" s="17">
        <f>VLOOKUP(AW27,Table1[[สินทรัพย์อ้างอิง]:[TOTAL PAPER]],18,FALSE)</f>
        <v>7</v>
      </c>
    </row>
    <row r="28" spans="1:52">
      <c r="A28" t="s">
        <v>35</v>
      </c>
      <c r="B28">
        <v>965.49</v>
      </c>
      <c r="C28" s="1"/>
      <c r="F28" s="2" t="s">
        <v>39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f t="shared" si="0"/>
        <v>1</v>
      </c>
      <c r="V28">
        <f t="shared" si="1"/>
        <v>1</v>
      </c>
      <c r="W28">
        <f>SUM(Table1[[#This Row],[FUNDAMENTAL]:[TECHNICAL]])</f>
        <v>2</v>
      </c>
      <c r="X28">
        <v>1</v>
      </c>
      <c r="Y28" s="52">
        <f t="shared" si="2"/>
        <v>120.62</v>
      </c>
      <c r="Z28" s="19">
        <v>342931830</v>
      </c>
      <c r="AE28" s="2" t="s">
        <v>5</v>
      </c>
      <c r="AF28" s="12">
        <v>278979205</v>
      </c>
      <c r="AG28" s="12">
        <v>277613779</v>
      </c>
      <c r="AH28" s="12">
        <v>76743000</v>
      </c>
      <c r="AI28" s="22">
        <f>SUM(Table3[[#This Row],[2566]:[2567]])</f>
        <v>556592984</v>
      </c>
      <c r="AJ28" s="22">
        <f>SUM(Table3[[#This Row],[2566]:[SUM Rev 66-67]])</f>
        <v>1189928968</v>
      </c>
      <c r="AK28" s="25">
        <v>42</v>
      </c>
      <c r="AL28" s="40">
        <v>2</v>
      </c>
      <c r="AO28" t="s">
        <v>297</v>
      </c>
      <c r="AP28" s="42">
        <v>3.5</v>
      </c>
      <c r="AQ28" s="50">
        <v>5100000</v>
      </c>
      <c r="AR28" s="51">
        <f t="shared" si="3"/>
        <v>17850000</v>
      </c>
      <c r="AS28" s="45"/>
      <c r="AT28" s="45"/>
      <c r="AU28" s="45"/>
      <c r="AW28" s="2" t="s">
        <v>96</v>
      </c>
      <c r="AX28" s="19">
        <v>440432640</v>
      </c>
      <c r="AY28" s="19">
        <f>VLOOKUP(Table5[[#This Row],[สินทรัพย์]],Table1[],19,FALSE)</f>
        <v>1</v>
      </c>
      <c r="AZ28" s="17">
        <f>VLOOKUP(AW28,Table1[[สินทรัพย์อ้างอิง]:[TOTAL PAPER]],18,FALSE)</f>
        <v>5</v>
      </c>
    </row>
    <row r="29" spans="1:52">
      <c r="A29" t="s">
        <v>36</v>
      </c>
      <c r="B29">
        <v>1306.99</v>
      </c>
      <c r="C29" s="1"/>
      <c r="F29" s="2" t="s">
        <v>40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f t="shared" si="0"/>
        <v>0</v>
      </c>
      <c r="V29">
        <f t="shared" si="1"/>
        <v>0</v>
      </c>
      <c r="W29">
        <f>SUM(Table1[[#This Row],[FUNDAMENTAL]:[TECHNICAL]])</f>
        <v>0</v>
      </c>
      <c r="X29">
        <v>0</v>
      </c>
      <c r="Y29" s="52">
        <f t="shared" si="2"/>
        <v>204.59</v>
      </c>
      <c r="Z29" s="19">
        <v>23776200</v>
      </c>
      <c r="AE29" s="2" t="s">
        <v>0</v>
      </c>
      <c r="AF29" s="11">
        <v>244465149</v>
      </c>
      <c r="AG29" s="11">
        <v>172876534</v>
      </c>
      <c r="AH29" s="11">
        <v>50364798</v>
      </c>
      <c r="AI29" s="22">
        <f>SUM(Table3[[#This Row],[2566]:[2567]])</f>
        <v>417341683</v>
      </c>
      <c r="AJ29" s="22">
        <f>SUM(Table3[[#This Row],[2566]:[SUM Rev 66-67]])</f>
        <v>885048164</v>
      </c>
      <c r="AK29" s="25">
        <v>41</v>
      </c>
      <c r="AL29" s="40">
        <v>2</v>
      </c>
      <c r="AO29" t="s">
        <v>268</v>
      </c>
      <c r="AP29" s="42">
        <v>2.12</v>
      </c>
      <c r="AQ29" s="50">
        <v>3500000</v>
      </c>
      <c r="AR29" s="51">
        <f t="shared" si="3"/>
        <v>7420000</v>
      </c>
      <c r="AS29" s="45"/>
      <c r="AT29" s="45"/>
      <c r="AU29" s="45"/>
      <c r="AW29" s="2" t="s">
        <v>117</v>
      </c>
      <c r="AX29" s="19">
        <v>434791000</v>
      </c>
      <c r="AY29" s="19">
        <f>VLOOKUP(Table5[[#This Row],[สินทรัพย์]],Table1[],19,FALSE)</f>
        <v>1</v>
      </c>
      <c r="AZ29" s="17">
        <f>VLOOKUP(AW29,Table1[[สินทรัพย์อ้างอิง]:[TOTAL PAPER]],18,FALSE)</f>
        <v>6</v>
      </c>
    </row>
    <row r="30" spans="1:52">
      <c r="A30" t="s">
        <v>37</v>
      </c>
      <c r="B30">
        <v>1272.05</v>
      </c>
      <c r="C30" s="1"/>
      <c r="F30" s="2" t="s">
        <v>41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f t="shared" si="0"/>
        <v>0</v>
      </c>
      <c r="V30">
        <f t="shared" si="1"/>
        <v>0</v>
      </c>
      <c r="W30">
        <f>SUM(Table1[[#This Row],[FUNDAMENTAL]:[TECHNICAL]])</f>
        <v>0</v>
      </c>
      <c r="X30">
        <v>0</v>
      </c>
      <c r="Y30" s="52">
        <f t="shared" si="2"/>
        <v>23.2</v>
      </c>
      <c r="Z30" s="19">
        <v>23820400</v>
      </c>
      <c r="AE30" s="2" t="s">
        <v>8</v>
      </c>
      <c r="AF30" s="16">
        <v>144424821</v>
      </c>
      <c r="AG30" s="16">
        <v>201591975</v>
      </c>
      <c r="AH30" s="16">
        <v>132370481</v>
      </c>
      <c r="AI30" s="22">
        <f>SUM(Table3[[#This Row],[2566]:[2567]])</f>
        <v>346016796</v>
      </c>
      <c r="AJ30" s="22">
        <f>SUM(Table3[[#This Row],[2566]:[SUM Rev 66-67]])</f>
        <v>824404073</v>
      </c>
      <c r="AK30" s="27">
        <v>10</v>
      </c>
      <c r="AL30" s="40">
        <v>2</v>
      </c>
      <c r="AO30" t="s">
        <v>354</v>
      </c>
      <c r="AP30" s="42">
        <v>12.8</v>
      </c>
      <c r="AQ30" s="50">
        <v>9411600</v>
      </c>
      <c r="AR30" s="51">
        <f t="shared" si="3"/>
        <v>120468480</v>
      </c>
      <c r="AS30" s="46"/>
      <c r="AT30" s="45"/>
      <c r="AU30" s="45"/>
      <c r="AW30" s="2" t="s">
        <v>153</v>
      </c>
      <c r="AX30" s="19">
        <v>423769388</v>
      </c>
      <c r="AY30" s="19">
        <f>VLOOKUP(Table5[[#This Row],[สินทรัพย์]],Table1[],19,FALSE)</f>
        <v>1</v>
      </c>
      <c r="AZ30" s="17">
        <f>VLOOKUP(AW30,Table1[[สินทรัพย์อ้างอิง]:[TOTAL PAPER]],18,FALSE)</f>
        <v>2</v>
      </c>
    </row>
    <row r="31" spans="1:52">
      <c r="A31" t="s">
        <v>38</v>
      </c>
      <c r="B31">
        <v>10.07</v>
      </c>
      <c r="C31" s="1"/>
      <c r="F31" s="2" t="s">
        <v>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f t="shared" si="0"/>
        <v>0</v>
      </c>
      <c r="V31">
        <f t="shared" si="1"/>
        <v>0</v>
      </c>
      <c r="W31">
        <f>SUM(Table1[[#This Row],[FUNDAMENTAL]:[TECHNICAL]])</f>
        <v>0</v>
      </c>
      <c r="X31">
        <v>0</v>
      </c>
      <c r="Y31" s="52">
        <f t="shared" si="2"/>
        <v>152.47999999999999</v>
      </c>
      <c r="Z31" s="19">
        <v>10950000</v>
      </c>
      <c r="AE31" s="2" t="s">
        <v>9</v>
      </c>
      <c r="AF31" s="6">
        <v>148464011</v>
      </c>
      <c r="AG31" s="6">
        <v>197237540</v>
      </c>
      <c r="AH31" s="9">
        <v>19360290</v>
      </c>
      <c r="AI31" s="22">
        <f>SUM(Table3[[#This Row],[2566]:[2567]])</f>
        <v>345701551</v>
      </c>
      <c r="AJ31" s="22">
        <f>SUM(Table3[[#This Row],[2566]:[SUM Rev 66-67]])</f>
        <v>710763392</v>
      </c>
      <c r="AK31" s="26">
        <v>14</v>
      </c>
      <c r="AL31" s="40">
        <v>3</v>
      </c>
      <c r="AO31" t="s">
        <v>355</v>
      </c>
      <c r="AP31" s="42">
        <v>5.65</v>
      </c>
      <c r="AQ31" s="50">
        <v>3000000</v>
      </c>
      <c r="AR31" s="51">
        <f t="shared" si="3"/>
        <v>16950000</v>
      </c>
      <c r="AS31" s="46"/>
      <c r="AT31" s="45"/>
      <c r="AU31" s="45"/>
      <c r="AW31" s="2" t="s">
        <v>33</v>
      </c>
      <c r="AX31" s="19">
        <v>382342200</v>
      </c>
      <c r="AY31" s="19">
        <f>VLOOKUP(Table5[[#This Row],[สินทรัพย์]],Table1[],19,FALSE)</f>
        <v>2</v>
      </c>
      <c r="AZ31" s="17">
        <f>VLOOKUP(AW31,Table1[[สินทรัพย์อ้างอิง]:[TOTAL PAPER]],18,FALSE)</f>
        <v>7</v>
      </c>
    </row>
    <row r="32" spans="1:52">
      <c r="A32" t="s">
        <v>40</v>
      </c>
      <c r="B32">
        <v>204.59</v>
      </c>
      <c r="C32" s="1"/>
      <c r="F32" s="2" t="s">
        <v>43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f t="shared" si="0"/>
        <v>0</v>
      </c>
      <c r="V32">
        <f t="shared" si="1"/>
        <v>0</v>
      </c>
      <c r="W32">
        <f>SUM(Table1[[#This Row],[FUNDAMENTAL]:[TECHNICAL]])</f>
        <v>0</v>
      </c>
      <c r="X32">
        <v>0</v>
      </c>
      <c r="Y32" s="52">
        <f t="shared" si="2"/>
        <v>323.37</v>
      </c>
      <c r="Z32" s="19">
        <v>11180000</v>
      </c>
      <c r="AE32" s="2" t="s">
        <v>187</v>
      </c>
      <c r="AF32" s="7">
        <v>94360052</v>
      </c>
      <c r="AG32" s="7">
        <v>196949213</v>
      </c>
      <c r="AH32" s="30">
        <v>55345349</v>
      </c>
      <c r="AI32" s="22">
        <f>SUM(Table3[[#This Row],[2566]:[2567]])</f>
        <v>291309265</v>
      </c>
      <c r="AJ32" s="22">
        <f>SUM(Table3[[#This Row],[2566]:[SUM Rev 66-67]])</f>
        <v>637963879</v>
      </c>
      <c r="AK32" s="26">
        <v>105</v>
      </c>
      <c r="AL32" s="40">
        <v>1</v>
      </c>
      <c r="AO32" t="s">
        <v>356</v>
      </c>
      <c r="AP32" s="42">
        <v>2.7</v>
      </c>
      <c r="AQ32" s="50">
        <v>3331500</v>
      </c>
      <c r="AR32" s="51">
        <f t="shared" si="3"/>
        <v>8995050</v>
      </c>
      <c r="AS32" s="46"/>
      <c r="AT32" s="45"/>
      <c r="AU32" s="45"/>
      <c r="AW32" s="2" t="s">
        <v>31</v>
      </c>
      <c r="AX32" s="19">
        <v>360999600</v>
      </c>
      <c r="AY32" s="19">
        <f>VLOOKUP(Table5[[#This Row],[สินทรัพย์]],Table1[],19,FALSE)</f>
        <v>1</v>
      </c>
      <c r="AZ32" s="17">
        <f>VLOOKUP(AW32,Table1[[สินทรัพย์อ้างอิง]:[TOTAL PAPER]],18,FALSE)</f>
        <v>7</v>
      </c>
    </row>
    <row r="33" spans="1:52">
      <c r="A33" t="s">
        <v>41</v>
      </c>
      <c r="B33">
        <v>23.2</v>
      </c>
      <c r="C33" s="1"/>
      <c r="F33" s="2" t="s">
        <v>44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f t="shared" si="0"/>
        <v>0</v>
      </c>
      <c r="V33">
        <f t="shared" si="1"/>
        <v>0</v>
      </c>
      <c r="W33">
        <f>SUM(Table1[[#This Row],[FUNDAMENTAL]:[TECHNICAL]])</f>
        <v>0</v>
      </c>
      <c r="X33">
        <v>0</v>
      </c>
      <c r="Y33" s="52">
        <f t="shared" si="2"/>
        <v>76.17</v>
      </c>
      <c r="Z33" s="19">
        <v>27134040</v>
      </c>
      <c r="AE33" s="2" t="s">
        <v>7</v>
      </c>
      <c r="AF33" s="21">
        <v>110109005</v>
      </c>
      <c r="AG33" s="21">
        <v>152495527</v>
      </c>
      <c r="AH33" s="9">
        <v>60761373</v>
      </c>
      <c r="AI33" s="22">
        <f>SUM(Table3[[#This Row],[2566]:[2567]])</f>
        <v>262604532</v>
      </c>
      <c r="AJ33" s="22">
        <f>SUM(Table3[[#This Row],[2566]:[SUM Rev 66-67]])</f>
        <v>585970437</v>
      </c>
      <c r="AK33" s="27">
        <v>14</v>
      </c>
      <c r="AL33" s="40">
        <v>3</v>
      </c>
      <c r="AO33" t="s">
        <v>357</v>
      </c>
      <c r="AP33" s="42">
        <v>5.65</v>
      </c>
      <c r="AQ33" s="50">
        <v>648205000</v>
      </c>
      <c r="AR33" s="51">
        <f t="shared" si="3"/>
        <v>3662358250</v>
      </c>
      <c r="AS33" s="46"/>
      <c r="AT33" s="45"/>
      <c r="AU33" s="45"/>
      <c r="AW33" s="2" t="s">
        <v>128</v>
      </c>
      <c r="AX33" s="19">
        <v>358484160</v>
      </c>
      <c r="AY33" s="19">
        <f>VLOOKUP(Table5[[#This Row],[สินทรัพย์]],Table1[],19,FALSE)</f>
        <v>1</v>
      </c>
      <c r="AZ33" s="17">
        <f>VLOOKUP(AW33,Table1[[สินทรัพย์อ้างอิง]:[TOTAL PAPER]],18,FALSE)</f>
        <v>2</v>
      </c>
    </row>
    <row r="34" spans="1:52">
      <c r="A34" t="s">
        <v>42</v>
      </c>
      <c r="B34">
        <v>152.47999999999999</v>
      </c>
      <c r="C34" s="1"/>
      <c r="F34" s="2" t="s">
        <v>45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f t="shared" si="0"/>
        <v>2</v>
      </c>
      <c r="V34">
        <f t="shared" si="1"/>
        <v>1</v>
      </c>
      <c r="W34">
        <f>SUM(Table1[[#This Row],[FUNDAMENTAL]:[TECHNICAL]])</f>
        <v>3</v>
      </c>
      <c r="X34">
        <v>1</v>
      </c>
      <c r="Y34" s="52">
        <f t="shared" si="2"/>
        <v>4583.04</v>
      </c>
      <c r="Z34" s="19">
        <v>570238078</v>
      </c>
      <c r="AE34" s="2" t="s">
        <v>11</v>
      </c>
      <c r="AF34" s="21">
        <v>69378535</v>
      </c>
      <c r="AG34" s="21">
        <v>81398732</v>
      </c>
      <c r="AH34" s="9">
        <v>25315000</v>
      </c>
      <c r="AI34" s="22">
        <f>SUM(Table3[[#This Row],[2566]:[2567]])</f>
        <v>150777267</v>
      </c>
      <c r="AJ34" s="22">
        <f>SUM(Table3[[#This Row],[2566]:[SUM Rev 66-67]])</f>
        <v>326869534</v>
      </c>
      <c r="AK34" s="26">
        <v>45</v>
      </c>
      <c r="AL34" s="40">
        <v>2</v>
      </c>
      <c r="AO34" t="s">
        <v>298</v>
      </c>
      <c r="AP34" s="42">
        <v>2.88</v>
      </c>
      <c r="AQ34" s="50">
        <v>300000</v>
      </c>
      <c r="AR34" s="51">
        <f t="shared" si="3"/>
        <v>864000</v>
      </c>
      <c r="AS34" s="46"/>
      <c r="AT34" s="45"/>
      <c r="AU34" s="45"/>
      <c r="AW34" s="2" t="s">
        <v>39</v>
      </c>
      <c r="AX34" s="19">
        <v>342931830</v>
      </c>
      <c r="AY34" s="19">
        <f>VLOOKUP(Table5[[#This Row],[สินทรัพย์]],Table1[],19,FALSE)</f>
        <v>1</v>
      </c>
      <c r="AZ34" s="17">
        <f>VLOOKUP(AW34,Table1[[สินทรัพย์อ้างอิง]:[TOTAL PAPER]],18,FALSE)</f>
        <v>2</v>
      </c>
    </row>
    <row r="35" spans="1:52">
      <c r="A35" t="s">
        <v>43</v>
      </c>
      <c r="B35">
        <v>323.37</v>
      </c>
      <c r="C35" s="1" t="s">
        <v>16</v>
      </c>
      <c r="F35" s="2" t="s">
        <v>46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f t="shared" si="0"/>
        <v>1</v>
      </c>
      <c r="V35">
        <f t="shared" si="1"/>
        <v>1</v>
      </c>
      <c r="W35">
        <f>SUM(Table1[[#This Row],[FUNDAMENTAL]:[TECHNICAL]])</f>
        <v>2</v>
      </c>
      <c r="X35">
        <v>1</v>
      </c>
      <c r="Y35" s="52">
        <f t="shared" si="2"/>
        <v>443.74</v>
      </c>
      <c r="Z35" s="19">
        <v>33460000</v>
      </c>
      <c r="AE35" s="2" t="s">
        <v>10</v>
      </c>
      <c r="AF35" s="8">
        <v>11440029</v>
      </c>
      <c r="AG35" s="8">
        <v>1869865</v>
      </c>
      <c r="AH35" s="20">
        <v>2764711</v>
      </c>
      <c r="AI35" s="22">
        <f>SUM(Table3[[#This Row],[2566]:[2567]])</f>
        <v>13309894</v>
      </c>
      <c r="AJ35" s="22">
        <f>SUM(Table3[[#This Row],[2566]:[SUM Rev 66-67]])</f>
        <v>29384499</v>
      </c>
      <c r="AK35" s="26">
        <v>2</v>
      </c>
      <c r="AL35" s="40">
        <v>1</v>
      </c>
      <c r="AO35" t="s">
        <v>269</v>
      </c>
      <c r="AP35" s="42">
        <v>3.4</v>
      </c>
      <c r="AQ35" s="50">
        <v>9500000</v>
      </c>
      <c r="AR35" s="51">
        <f t="shared" si="3"/>
        <v>32300000</v>
      </c>
      <c r="AS35" s="46"/>
      <c r="AT35" s="45"/>
      <c r="AU35" s="45"/>
      <c r="AW35" s="2" t="s">
        <v>112</v>
      </c>
      <c r="AX35" s="19">
        <v>342861900</v>
      </c>
      <c r="AY35" s="19">
        <f>VLOOKUP(Table5[[#This Row],[สินทรัพย์]],Table1[],19,FALSE)</f>
        <v>1</v>
      </c>
      <c r="AZ35" s="17">
        <f>VLOOKUP(AW35,Table1[[สินทรัพย์อ้างอิง]:[TOTAL PAPER]],18,FALSE)</f>
        <v>4</v>
      </c>
    </row>
    <row r="36" spans="1:52">
      <c r="A36" t="s">
        <v>44</v>
      </c>
      <c r="B36">
        <v>76.17</v>
      </c>
      <c r="C36" s="1" t="s">
        <v>16</v>
      </c>
      <c r="F36" s="2" t="s">
        <v>47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f t="shared" ref="U36:U67" si="4">SUM(G36:H36,K36:Q36,S36)</f>
        <v>3</v>
      </c>
      <c r="V36">
        <f t="shared" ref="V36:V67" si="5">SUM(J36,R36,T36)</f>
        <v>2</v>
      </c>
      <c r="W36">
        <f>SUM(Table1[[#This Row],[FUNDAMENTAL]:[TECHNICAL]])</f>
        <v>5</v>
      </c>
      <c r="X36">
        <v>1</v>
      </c>
      <c r="Y36" s="52">
        <f t="shared" ref="Y36:Y67" si="6">VLOOKUP(F36,$A$3:$B$174,2,FALSE)</f>
        <v>3849.51</v>
      </c>
      <c r="Z36" s="19">
        <v>148891700</v>
      </c>
      <c r="AO36" t="s">
        <v>358</v>
      </c>
      <c r="AP36" s="42">
        <v>6.25</v>
      </c>
      <c r="AQ36" s="50">
        <v>3074750</v>
      </c>
      <c r="AR36" s="51">
        <f t="shared" si="3"/>
        <v>19217187.5</v>
      </c>
      <c r="AS36" s="45"/>
      <c r="AT36" s="45"/>
      <c r="AU36" s="45"/>
      <c r="AW36" s="2" t="s">
        <v>58</v>
      </c>
      <c r="AX36" s="19">
        <v>339635200</v>
      </c>
      <c r="AY36" s="19">
        <f>VLOOKUP(Table5[[#This Row],[สินทรัพย์]],Table1[],19,FALSE)</f>
        <v>0</v>
      </c>
      <c r="AZ36" s="17">
        <f>VLOOKUP(AW36,Table1[[สินทรัพย์อ้างอิง]:[TOTAL PAPER]],18,FALSE)</f>
        <v>0</v>
      </c>
    </row>
    <row r="37" spans="1:52">
      <c r="A37" t="s">
        <v>46</v>
      </c>
      <c r="B37">
        <v>443.74</v>
      </c>
      <c r="C37" s="1"/>
      <c r="F37" s="2" t="s">
        <v>48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f t="shared" si="4"/>
        <v>1</v>
      </c>
      <c r="V37">
        <f t="shared" si="5"/>
        <v>2</v>
      </c>
      <c r="W37">
        <f>SUM(Table1[[#This Row],[FUNDAMENTAL]:[TECHNICAL]])</f>
        <v>3</v>
      </c>
      <c r="X37">
        <v>0</v>
      </c>
      <c r="Y37" s="52">
        <f t="shared" si="6"/>
        <v>95.79</v>
      </c>
      <c r="Z37" s="19">
        <v>12432000</v>
      </c>
      <c r="AO37" t="s">
        <v>221</v>
      </c>
      <c r="AP37" s="42">
        <v>1.56</v>
      </c>
      <c r="AQ37" s="50">
        <v>231410000</v>
      </c>
      <c r="AR37" s="51">
        <f t="shared" si="3"/>
        <v>360999600</v>
      </c>
      <c r="AS37" s="45"/>
      <c r="AT37" s="45"/>
      <c r="AU37" s="45"/>
      <c r="AW37" s="2" t="s">
        <v>108</v>
      </c>
      <c r="AX37" s="19">
        <v>336925400</v>
      </c>
      <c r="AY37" s="19">
        <f>VLOOKUP(Table5[[#This Row],[สินทรัพย์]],Table1[],19,FALSE)</f>
        <v>0</v>
      </c>
      <c r="AZ37" s="17">
        <f>VLOOKUP(AW37,Table1[[สินทรัพย์อ้างอิง]:[TOTAL PAPER]],18,FALSE)</f>
        <v>2</v>
      </c>
    </row>
    <row r="38" spans="1:52">
      <c r="A38" t="s">
        <v>47</v>
      </c>
      <c r="B38">
        <v>3849.51</v>
      </c>
      <c r="C38" s="1"/>
      <c r="F38" s="2" t="s">
        <v>49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f t="shared" si="4"/>
        <v>1</v>
      </c>
      <c r="V38">
        <f t="shared" si="5"/>
        <v>1</v>
      </c>
      <c r="W38">
        <f>SUM(Table1[[#This Row],[FUNDAMENTAL]:[TECHNICAL]])</f>
        <v>2</v>
      </c>
      <c r="X38">
        <v>0</v>
      </c>
      <c r="Y38" s="52">
        <f t="shared" si="6"/>
        <v>898.55</v>
      </c>
      <c r="Z38" s="19">
        <v>58504000</v>
      </c>
      <c r="AO38" t="s">
        <v>359</v>
      </c>
      <c r="AP38" s="42">
        <v>0.87</v>
      </c>
      <c r="AQ38" s="50">
        <v>27060000</v>
      </c>
      <c r="AR38" s="51">
        <f t="shared" si="3"/>
        <v>23542200</v>
      </c>
      <c r="AS38" s="45"/>
      <c r="AT38" s="45"/>
      <c r="AU38" s="45"/>
      <c r="AW38" s="2" t="s">
        <v>98</v>
      </c>
      <c r="AX38" s="19">
        <v>336804599.99999988</v>
      </c>
      <c r="AY38" s="19">
        <f>VLOOKUP(Table5[[#This Row],[สินทรัพย์]],Table1[],19,FALSE)</f>
        <v>2</v>
      </c>
      <c r="AZ38" s="17">
        <f>VLOOKUP(AW38,Table1[[สินทรัพย์อ้างอิง]:[TOTAL PAPER]],18,FALSE)</f>
        <v>5</v>
      </c>
    </row>
    <row r="39" spans="1:52">
      <c r="A39" t="s">
        <v>48</v>
      </c>
      <c r="B39">
        <v>95.79</v>
      </c>
      <c r="C39" s="1"/>
      <c r="F39" s="2" t="s">
        <v>50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f t="shared" si="4"/>
        <v>0</v>
      </c>
      <c r="V39">
        <f t="shared" si="5"/>
        <v>2</v>
      </c>
      <c r="W39">
        <f>SUM(Table1[[#This Row],[FUNDAMENTAL]:[TECHNICAL]])</f>
        <v>2</v>
      </c>
      <c r="X39">
        <v>1</v>
      </c>
      <c r="Y39" s="52">
        <f t="shared" si="6"/>
        <v>2044.27</v>
      </c>
      <c r="Z39" s="19">
        <v>21848400</v>
      </c>
      <c r="AG39" s="35"/>
      <c r="AO39" t="s">
        <v>360</v>
      </c>
      <c r="AP39" s="42">
        <v>0.39</v>
      </c>
      <c r="AQ39" s="50">
        <v>920000000</v>
      </c>
      <c r="AR39" s="51">
        <f t="shared" si="3"/>
        <v>358800000</v>
      </c>
      <c r="AS39" s="45"/>
      <c r="AT39" s="45"/>
      <c r="AU39" s="45"/>
      <c r="AW39" s="2" t="s">
        <v>144</v>
      </c>
      <c r="AX39" s="19">
        <v>263001200</v>
      </c>
      <c r="AY39" s="19">
        <f>VLOOKUP(Table5[[#This Row],[สินทรัพย์]],Table1[],19,FALSE)</f>
        <v>1</v>
      </c>
      <c r="AZ39" s="17">
        <f>VLOOKUP(AW39,Table1[[สินทรัพย์อ้างอิง]:[TOTAL PAPER]],18,FALSE)</f>
        <v>1</v>
      </c>
    </row>
    <row r="40" spans="1:52">
      <c r="A40" t="s">
        <v>49</v>
      </c>
      <c r="B40">
        <v>898.55</v>
      </c>
      <c r="C40" s="1"/>
      <c r="F40" s="2" t="s">
        <v>51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f t="shared" si="4"/>
        <v>1</v>
      </c>
      <c r="V40">
        <f t="shared" si="5"/>
        <v>1</v>
      </c>
      <c r="W40">
        <f>SUM(Table1[[#This Row],[FUNDAMENTAL]:[TECHNICAL]])</f>
        <v>2</v>
      </c>
      <c r="X40">
        <v>0</v>
      </c>
      <c r="Y40" s="52">
        <f t="shared" si="6"/>
        <v>608.92999999999995</v>
      </c>
      <c r="Z40" s="19">
        <v>17771520</v>
      </c>
      <c r="AE40" s="2" t="s">
        <v>1</v>
      </c>
      <c r="AF40" t="s">
        <v>307</v>
      </c>
      <c r="AG40" t="s">
        <v>308</v>
      </c>
      <c r="AH40" t="s">
        <v>309</v>
      </c>
      <c r="AI40" t="s">
        <v>310</v>
      </c>
      <c r="AO40" t="s">
        <v>361</v>
      </c>
      <c r="AP40" s="42">
        <v>4.5599999999999996</v>
      </c>
      <c r="AQ40" s="50">
        <v>327272000</v>
      </c>
      <c r="AR40" s="51">
        <f t="shared" si="3"/>
        <v>1492360319.9999998</v>
      </c>
      <c r="AS40" s="45"/>
      <c r="AT40" s="45"/>
      <c r="AU40" s="45"/>
      <c r="AW40" s="2" t="s">
        <v>75</v>
      </c>
      <c r="AX40" s="19">
        <v>260988000</v>
      </c>
      <c r="AY40" s="19">
        <f>VLOOKUP(Table5[[#This Row],[สินทรัพย์]],Table1[],19,FALSE)</f>
        <v>0</v>
      </c>
      <c r="AZ40" s="17">
        <f>VLOOKUP(AW40,Table1[[สินทรัพย์อ้างอิง]:[TOTAL PAPER]],18,FALSE)</f>
        <v>2</v>
      </c>
    </row>
    <row r="41" spans="1:52">
      <c r="A41" t="s">
        <v>55</v>
      </c>
      <c r="B41">
        <v>5821.82</v>
      </c>
      <c r="C41" s="1"/>
      <c r="F41" s="2" t="s">
        <v>185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f t="shared" si="4"/>
        <v>1</v>
      </c>
      <c r="V41">
        <f t="shared" si="5"/>
        <v>2</v>
      </c>
      <c r="W41">
        <f>SUM(Table1[[#This Row],[FUNDAMENTAL]:[TECHNICAL]])</f>
        <v>3</v>
      </c>
      <c r="X41">
        <v>1</v>
      </c>
      <c r="Y41" s="52">
        <f t="shared" si="6"/>
        <v>12761.05</v>
      </c>
      <c r="Z41" s="19">
        <v>4492317280</v>
      </c>
      <c r="AE41" s="2" t="s">
        <v>4</v>
      </c>
      <c r="AF41" t="s">
        <v>311</v>
      </c>
      <c r="AG41" t="s">
        <v>312</v>
      </c>
      <c r="AH41" t="s">
        <v>313</v>
      </c>
      <c r="AI41" t="s">
        <v>314</v>
      </c>
      <c r="AO41" t="s">
        <v>362</v>
      </c>
      <c r="AP41" s="42">
        <v>8</v>
      </c>
      <c r="AQ41" s="50">
        <v>19775000</v>
      </c>
      <c r="AR41" s="51">
        <f t="shared" si="3"/>
        <v>158200000</v>
      </c>
      <c r="AS41" s="45"/>
      <c r="AT41" s="45"/>
      <c r="AU41" s="45"/>
      <c r="AW41" s="2" t="s">
        <v>13</v>
      </c>
      <c r="AX41" s="19">
        <v>249928000</v>
      </c>
      <c r="AY41" s="19">
        <f>VLOOKUP(Table5[[#This Row],[สินทรัพย์]],Table1[],19,FALSE)</f>
        <v>2</v>
      </c>
      <c r="AZ41" s="17">
        <f>VLOOKUP(AW41,Table1[[สินทรัพย์อ้างอิง]:[TOTAL PAPER]],18,FALSE)</f>
        <v>7</v>
      </c>
    </row>
    <row r="42" spans="1:52" ht="15" customHeight="1">
      <c r="A42" t="s">
        <v>185</v>
      </c>
      <c r="B42">
        <v>12761.05</v>
      </c>
      <c r="C42" s="1"/>
      <c r="F42" s="2" t="s">
        <v>52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f t="shared" si="4"/>
        <v>1</v>
      </c>
      <c r="V42">
        <f t="shared" si="5"/>
        <v>2</v>
      </c>
      <c r="W42">
        <f>SUM(Table1[[#This Row],[FUNDAMENTAL]:[TECHNICAL]])</f>
        <v>3</v>
      </c>
      <c r="X42">
        <v>1</v>
      </c>
      <c r="Y42" s="52">
        <f t="shared" si="6"/>
        <v>138116.74</v>
      </c>
      <c r="Z42" s="19">
        <v>99197370.000000015</v>
      </c>
      <c r="AE42" s="2" t="s">
        <v>9</v>
      </c>
      <c r="AF42" t="s">
        <v>337</v>
      </c>
      <c r="AG42" t="s">
        <v>338</v>
      </c>
      <c r="AH42" t="s">
        <v>339</v>
      </c>
      <c r="AO42" t="s">
        <v>363</v>
      </c>
      <c r="AP42" s="42">
        <v>20</v>
      </c>
      <c r="AQ42" s="50">
        <v>11250000</v>
      </c>
      <c r="AR42" s="51">
        <f t="shared" si="3"/>
        <v>225000000</v>
      </c>
      <c r="AS42" s="46"/>
      <c r="AT42" s="45"/>
      <c r="AU42" s="45"/>
      <c r="AW42" s="2" t="s">
        <v>92</v>
      </c>
      <c r="AX42" s="19">
        <v>237650000</v>
      </c>
      <c r="AY42" s="19">
        <f>VLOOKUP(Table5[[#This Row],[สินทรัพย์]],Table1[],19,FALSE)</f>
        <v>1</v>
      </c>
      <c r="AZ42" s="17">
        <f>VLOOKUP(AW42,Table1[[สินทรัพย์อ้างอิง]:[TOTAL PAPER]],18,FALSE)</f>
        <v>4</v>
      </c>
    </row>
    <row r="43" spans="1:52">
      <c r="A43" t="s">
        <v>50</v>
      </c>
      <c r="B43">
        <v>2044.27</v>
      </c>
      <c r="C43" s="1"/>
      <c r="F43" s="2" t="s">
        <v>53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f t="shared" si="4"/>
        <v>3</v>
      </c>
      <c r="V43">
        <f t="shared" si="5"/>
        <v>1</v>
      </c>
      <c r="W43">
        <f>SUM(Table1[[#This Row],[FUNDAMENTAL]:[TECHNICAL]])</f>
        <v>4</v>
      </c>
      <c r="X43">
        <v>1</v>
      </c>
      <c r="Y43" s="52">
        <f t="shared" si="6"/>
        <v>121.77</v>
      </c>
      <c r="Z43" s="19">
        <v>13513500</v>
      </c>
      <c r="AE43" s="2" t="s">
        <v>5</v>
      </c>
      <c r="AF43" t="s">
        <v>335</v>
      </c>
      <c r="AG43" t="s">
        <v>336</v>
      </c>
      <c r="AH43" s="18"/>
      <c r="AO43" t="s">
        <v>364</v>
      </c>
      <c r="AP43" s="42">
        <v>13.7</v>
      </c>
      <c r="AQ43" s="50">
        <v>1638000</v>
      </c>
      <c r="AR43" s="51">
        <f t="shared" si="3"/>
        <v>22440600</v>
      </c>
      <c r="AS43" s="45"/>
      <c r="AT43" s="45"/>
      <c r="AU43" s="45"/>
      <c r="AW43" s="2" t="s">
        <v>24</v>
      </c>
      <c r="AX43" s="19">
        <v>228477100</v>
      </c>
      <c r="AY43" s="19">
        <f>VLOOKUP(Table5[[#This Row],[สินทรัพย์]],Table1[],19,FALSE)</f>
        <v>1</v>
      </c>
      <c r="AZ43" s="17">
        <f>VLOOKUP(AW43,Table1[[สินทรัพย์อ้างอิง]:[TOTAL PAPER]],18,FALSE)</f>
        <v>6</v>
      </c>
    </row>
    <row r="44" spans="1:52">
      <c r="A44" t="s">
        <v>51</v>
      </c>
      <c r="B44">
        <v>608.92999999999995</v>
      </c>
      <c r="C44" s="1"/>
      <c r="F44" s="2" t="s">
        <v>54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f t="shared" si="4"/>
        <v>1</v>
      </c>
      <c r="V44">
        <f t="shared" si="5"/>
        <v>1</v>
      </c>
      <c r="W44">
        <f>SUM(Table1[[#This Row],[FUNDAMENTAL]:[TECHNICAL]])</f>
        <v>2</v>
      </c>
      <c r="X44">
        <v>0</v>
      </c>
      <c r="Y44" s="52">
        <f t="shared" si="6"/>
        <v>4626.04</v>
      </c>
      <c r="Z44" s="19">
        <v>939399532</v>
      </c>
      <c r="AE44" s="2" t="s">
        <v>7</v>
      </c>
      <c r="AF44" t="s">
        <v>315</v>
      </c>
      <c r="AG44" t="s">
        <v>316</v>
      </c>
      <c r="AH44" t="s">
        <v>317</v>
      </c>
      <c r="AO44" t="s">
        <v>365</v>
      </c>
      <c r="AP44" s="42">
        <v>3.26</v>
      </c>
      <c r="AQ44" s="50">
        <v>17330000</v>
      </c>
      <c r="AR44" s="51">
        <f t="shared" si="3"/>
        <v>56495800</v>
      </c>
      <c r="AS44" s="46"/>
      <c r="AT44" s="45"/>
      <c r="AU44" s="45"/>
      <c r="AW44" s="2" t="s">
        <v>138</v>
      </c>
      <c r="AX44" s="19">
        <v>208126780</v>
      </c>
      <c r="AY44" s="19">
        <f>VLOOKUP(Table5[[#This Row],[สินทรัพย์]],Table1[],19,FALSE)</f>
        <v>0</v>
      </c>
      <c r="AZ44" s="17">
        <f>VLOOKUP(AW44,Table1[[สินทรัพย์อ้างอิง]:[TOTAL PAPER]],18,FALSE)</f>
        <v>2</v>
      </c>
    </row>
    <row r="45" spans="1:52">
      <c r="A45" t="s">
        <v>52</v>
      </c>
      <c r="B45">
        <v>138116.74</v>
      </c>
      <c r="C45" s="1"/>
      <c r="F45" s="2" t="s">
        <v>55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f t="shared" si="4"/>
        <v>2</v>
      </c>
      <c r="V45">
        <f t="shared" si="5"/>
        <v>0</v>
      </c>
      <c r="W45">
        <f>SUM(Table1[[#This Row],[FUNDAMENTAL]:[TECHNICAL]])</f>
        <v>2</v>
      </c>
      <c r="X45">
        <v>1</v>
      </c>
      <c r="Y45" s="52">
        <f t="shared" si="6"/>
        <v>5821.82</v>
      </c>
      <c r="Z45" s="19">
        <v>5822432000</v>
      </c>
      <c r="AE45" s="2" t="s">
        <v>3</v>
      </c>
      <c r="AF45" t="s">
        <v>318</v>
      </c>
      <c r="AG45" t="s">
        <v>319</v>
      </c>
      <c r="AH45" t="s">
        <v>320</v>
      </c>
      <c r="AO45" t="s">
        <v>366</v>
      </c>
      <c r="AP45" s="42">
        <v>6.9</v>
      </c>
      <c r="AQ45" s="50">
        <v>5031800</v>
      </c>
      <c r="AR45" s="51">
        <f t="shared" si="3"/>
        <v>34719420</v>
      </c>
      <c r="AS45" s="45"/>
      <c r="AT45" s="45"/>
      <c r="AU45" s="45"/>
      <c r="AW45" s="2" t="s">
        <v>77</v>
      </c>
      <c r="AX45" s="19">
        <v>200200320</v>
      </c>
      <c r="AY45" s="19">
        <f>VLOOKUP(Table5[[#This Row],[สินทรัพย์]],Table1[],19,FALSE)</f>
        <v>1</v>
      </c>
      <c r="AZ45" s="17">
        <f>VLOOKUP(AW45,Table1[[สินทรัพย์อ้างอิง]:[TOTAL PAPER]],18,FALSE)</f>
        <v>2</v>
      </c>
    </row>
    <row r="46" spans="1:52">
      <c r="A46" t="s">
        <v>53</v>
      </c>
      <c r="B46">
        <v>121.77</v>
      </c>
      <c r="C46" s="1"/>
      <c r="F46" s="2" t="s">
        <v>56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f t="shared" si="4"/>
        <v>0</v>
      </c>
      <c r="V46">
        <f t="shared" si="5"/>
        <v>1</v>
      </c>
      <c r="W46">
        <f>SUM(Table1[[#This Row],[FUNDAMENTAL]:[TECHNICAL]])</f>
        <v>1</v>
      </c>
      <c r="X46">
        <v>1</v>
      </c>
      <c r="Y46" s="52">
        <f t="shared" si="6"/>
        <v>169.04</v>
      </c>
      <c r="Z46" s="19">
        <v>9856000.0000000019</v>
      </c>
      <c r="AE46" s="2" t="s">
        <v>2</v>
      </c>
      <c r="AF46" t="s">
        <v>321</v>
      </c>
      <c r="AG46" t="s">
        <v>322</v>
      </c>
      <c r="AH46" t="s">
        <v>323</v>
      </c>
      <c r="AO46" t="s">
        <v>367</v>
      </c>
      <c r="AP46" s="42">
        <v>2.2799999999999998</v>
      </c>
      <c r="AQ46" s="50">
        <v>1742700</v>
      </c>
      <c r="AR46" s="51">
        <f t="shared" si="3"/>
        <v>3973355.9999999995</v>
      </c>
      <c r="AS46" s="46"/>
      <c r="AT46" s="45"/>
      <c r="AU46" s="45"/>
      <c r="AW46" s="2" t="s">
        <v>61</v>
      </c>
      <c r="AX46" s="19">
        <v>188160290</v>
      </c>
      <c r="AY46" s="19">
        <f>VLOOKUP(Table5[[#This Row],[สินทรัพย์]],Table1[],19,FALSE)</f>
        <v>1</v>
      </c>
      <c r="AZ46" s="17">
        <f>VLOOKUP(AW46,Table1[[สินทรัพย์อ้างอิง]:[TOTAL PAPER]],18,FALSE)</f>
        <v>2</v>
      </c>
    </row>
    <row r="47" spans="1:52">
      <c r="A47" t="s">
        <v>54</v>
      </c>
      <c r="B47">
        <v>4626.04</v>
      </c>
      <c r="C47" s="1"/>
      <c r="F47" s="2" t="s">
        <v>57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f t="shared" si="4"/>
        <v>1</v>
      </c>
      <c r="V47">
        <f t="shared" si="5"/>
        <v>2</v>
      </c>
      <c r="W47">
        <f>SUM(Table1[[#This Row],[FUNDAMENTAL]:[TECHNICAL]])</f>
        <v>3</v>
      </c>
      <c r="X47">
        <v>1</v>
      </c>
      <c r="Y47" s="52">
        <f t="shared" si="6"/>
        <v>222.52</v>
      </c>
      <c r="Z47" s="19">
        <v>44120000</v>
      </c>
      <c r="AE47" s="2" t="s">
        <v>0</v>
      </c>
      <c r="AF47" t="s">
        <v>324</v>
      </c>
      <c r="AG47" t="s">
        <v>325</v>
      </c>
      <c r="AO47" t="s">
        <v>368</v>
      </c>
      <c r="AP47" s="42">
        <v>22.1</v>
      </c>
      <c r="AQ47" s="50">
        <v>14365700</v>
      </c>
      <c r="AR47" s="51">
        <f t="shared" si="3"/>
        <v>317481970</v>
      </c>
      <c r="AS47" s="46"/>
      <c r="AT47" s="45"/>
      <c r="AU47" s="45"/>
      <c r="AW47" s="2" t="s">
        <v>121</v>
      </c>
      <c r="AX47" s="19">
        <v>185706150</v>
      </c>
      <c r="AY47" s="19">
        <f>VLOOKUP(Table5[[#This Row],[สินทรัพย์]],Table1[],19,FALSE)</f>
        <v>0</v>
      </c>
      <c r="AZ47" s="17">
        <f>VLOOKUP(AW47,Table1[[สินทรัพย์อ้างอิง]:[TOTAL PAPER]],18,FALSE)</f>
        <v>3</v>
      </c>
    </row>
    <row r="48" spans="1:52">
      <c r="A48" t="s">
        <v>56</v>
      </c>
      <c r="B48">
        <v>169.04</v>
      </c>
      <c r="C48" s="1"/>
      <c r="F48" s="2" t="s">
        <v>58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f t="shared" si="4"/>
        <v>0</v>
      </c>
      <c r="V48">
        <f t="shared" si="5"/>
        <v>0</v>
      </c>
      <c r="W48">
        <f>SUM(Table1[[#This Row],[FUNDAMENTAL]:[TECHNICAL]])</f>
        <v>0</v>
      </c>
      <c r="X48">
        <v>0</v>
      </c>
      <c r="Y48" s="52">
        <f t="shared" si="6"/>
        <v>4444.4799999999996</v>
      </c>
      <c r="Z48" s="19">
        <v>339635200</v>
      </c>
      <c r="AE48" s="2" t="s">
        <v>6</v>
      </c>
      <c r="AF48" t="s">
        <v>326</v>
      </c>
      <c r="AG48" t="s">
        <v>327</v>
      </c>
      <c r="AH48" t="s">
        <v>328</v>
      </c>
      <c r="AO48" t="s">
        <v>369</v>
      </c>
      <c r="AP48" s="42">
        <v>5.65</v>
      </c>
      <c r="AQ48" s="50">
        <v>4504400</v>
      </c>
      <c r="AR48" s="51">
        <f t="shared" si="3"/>
        <v>25449860</v>
      </c>
      <c r="AS48" s="45"/>
      <c r="AT48" s="45"/>
      <c r="AU48" s="45"/>
      <c r="AW48" s="2" t="s">
        <v>62</v>
      </c>
      <c r="AX48" s="19">
        <v>171966400</v>
      </c>
      <c r="AY48" s="19">
        <f>VLOOKUP(Table5[[#This Row],[สินทรัพย์]],Table1[],19,FALSE)</f>
        <v>1</v>
      </c>
      <c r="AZ48" s="17">
        <f>VLOOKUP(AW48,Table1[[สินทรัพย์อ้างอิง]:[TOTAL PAPER]],18,FALSE)</f>
        <v>4</v>
      </c>
    </row>
    <row r="49" spans="1:52">
      <c r="A49" t="s">
        <v>57</v>
      </c>
      <c r="B49">
        <v>222.52</v>
      </c>
      <c r="C49" s="1"/>
      <c r="F49" s="2" t="s">
        <v>59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f t="shared" si="4"/>
        <v>0</v>
      </c>
      <c r="V49">
        <f t="shared" si="5"/>
        <v>0</v>
      </c>
      <c r="W49">
        <f>SUM(Table1[[#This Row],[FUNDAMENTAL]:[TECHNICAL]])</f>
        <v>0</v>
      </c>
      <c r="X49">
        <v>0</v>
      </c>
      <c r="Y49" s="52">
        <f t="shared" si="6"/>
        <v>6237.69</v>
      </c>
      <c r="Z49" s="19">
        <v>165444000</v>
      </c>
      <c r="AE49" s="2" t="s">
        <v>11</v>
      </c>
      <c r="AF49" t="s">
        <v>331</v>
      </c>
      <c r="AG49" t="s">
        <v>332</v>
      </c>
      <c r="AO49" t="s">
        <v>370</v>
      </c>
      <c r="AP49" s="42">
        <v>1.53</v>
      </c>
      <c r="AQ49" s="50">
        <v>15540000</v>
      </c>
      <c r="AR49" s="51">
        <f t="shared" si="3"/>
        <v>23776200</v>
      </c>
      <c r="AS49" s="45"/>
      <c r="AT49" s="45"/>
      <c r="AU49" s="45"/>
      <c r="AW49" s="2" t="s">
        <v>59</v>
      </c>
      <c r="AX49" s="19">
        <v>165444000</v>
      </c>
      <c r="AY49" s="19">
        <f>VLOOKUP(Table5[[#This Row],[สินทรัพย์]],Table1[],19,FALSE)</f>
        <v>0</v>
      </c>
      <c r="AZ49" s="17">
        <f>VLOOKUP(AW49,Table1[[สินทรัพย์อ้างอิง]:[TOTAL PAPER]],18,FALSE)</f>
        <v>0</v>
      </c>
    </row>
    <row r="50" spans="1:52">
      <c r="A50" t="s">
        <v>180</v>
      </c>
      <c r="B50">
        <v>18.93</v>
      </c>
      <c r="C50" s="1"/>
      <c r="F50" s="2" t="s">
        <v>60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f t="shared" si="4"/>
        <v>2</v>
      </c>
      <c r="V50">
        <f t="shared" si="5"/>
        <v>2</v>
      </c>
      <c r="W50">
        <f>SUM(Table1[[#This Row],[FUNDAMENTAL]:[TECHNICAL]])</f>
        <v>4</v>
      </c>
      <c r="X50">
        <v>1</v>
      </c>
      <c r="Y50" s="52">
        <f t="shared" si="6"/>
        <v>22039.279999999999</v>
      </c>
      <c r="Z50" s="19">
        <v>4244535100</v>
      </c>
      <c r="AE50" s="2" t="s">
        <v>8</v>
      </c>
      <c r="AF50" t="s">
        <v>329</v>
      </c>
      <c r="AG50" t="s">
        <v>330</v>
      </c>
      <c r="AO50" t="s">
        <v>371</v>
      </c>
      <c r="AP50" s="42">
        <v>2.2599999999999998</v>
      </c>
      <c r="AQ50" s="50">
        <v>10540000</v>
      </c>
      <c r="AR50" s="51">
        <f t="shared" si="3"/>
        <v>23820399.999999996</v>
      </c>
      <c r="AS50" s="46"/>
      <c r="AT50" s="45"/>
      <c r="AU50" s="45"/>
      <c r="AW50" s="2" t="s">
        <v>176</v>
      </c>
      <c r="AX50" s="19">
        <v>151446400</v>
      </c>
      <c r="AY50" s="19">
        <f>VLOOKUP(Table5[[#This Row],[สินทรัพย์]],Table1[],19,FALSE)</f>
        <v>1</v>
      </c>
      <c r="AZ50" s="17">
        <f>VLOOKUP(AW50,Table1[[สินทรัพย์อ้างอิง]:[TOTAL PAPER]],18,FALSE)</f>
        <v>6</v>
      </c>
    </row>
    <row r="51" spans="1:52">
      <c r="A51" t="s">
        <v>80</v>
      </c>
      <c r="B51">
        <v>32.21</v>
      </c>
      <c r="C51" s="1"/>
      <c r="F51" s="2" t="s">
        <v>61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f t="shared" si="4"/>
        <v>2</v>
      </c>
      <c r="V51">
        <f t="shared" si="5"/>
        <v>0</v>
      </c>
      <c r="W51">
        <f>SUM(Table1[[#This Row],[FUNDAMENTAL]:[TECHNICAL]])</f>
        <v>2</v>
      </c>
      <c r="X51">
        <v>1</v>
      </c>
      <c r="Y51" s="52">
        <f t="shared" si="6"/>
        <v>6925.76</v>
      </c>
      <c r="Z51" s="19">
        <v>188160290</v>
      </c>
      <c r="AE51" s="2" t="s">
        <v>187</v>
      </c>
      <c r="AF51" t="s">
        <v>333</v>
      </c>
      <c r="AO51" t="s">
        <v>372</v>
      </c>
      <c r="AP51" s="42">
        <v>2.5</v>
      </c>
      <c r="AQ51" s="50">
        <v>4380000</v>
      </c>
      <c r="AR51" s="51">
        <f t="shared" si="3"/>
        <v>10950000</v>
      </c>
      <c r="AS51" s="45"/>
      <c r="AT51" s="45"/>
      <c r="AU51" s="45"/>
      <c r="AW51" s="2" t="s">
        <v>47</v>
      </c>
      <c r="AX51" s="19">
        <v>148891700</v>
      </c>
      <c r="AY51" s="19">
        <f>VLOOKUP(Table5[[#This Row],[สินทรัพย์]],Table1[],19,FALSE)</f>
        <v>1</v>
      </c>
      <c r="AZ51" s="17">
        <f>VLOOKUP(AW51,Table1[[สินทรัพย์อ้างอิง]:[TOTAL PAPER]],18,FALSE)</f>
        <v>5</v>
      </c>
    </row>
    <row r="52" spans="1:52">
      <c r="A52" t="s">
        <v>60</v>
      </c>
      <c r="B52">
        <v>22039.279999999999</v>
      </c>
      <c r="C52" s="1"/>
      <c r="F52" s="2" t="s">
        <v>62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f t="shared" si="4"/>
        <v>2</v>
      </c>
      <c r="V52">
        <f t="shared" si="5"/>
        <v>2</v>
      </c>
      <c r="W52">
        <f>SUM(Table1[[#This Row],[FUNDAMENTAL]:[TECHNICAL]])</f>
        <v>4</v>
      </c>
      <c r="X52">
        <v>1</v>
      </c>
      <c r="Y52" s="52">
        <f t="shared" si="6"/>
        <v>7212.08</v>
      </c>
      <c r="Z52" s="19">
        <v>171966400</v>
      </c>
      <c r="AE52" s="2" t="s">
        <v>10</v>
      </c>
      <c r="AF52" t="s">
        <v>334</v>
      </c>
      <c r="AO52" t="s">
        <v>373</v>
      </c>
      <c r="AP52" s="42">
        <v>2.6</v>
      </c>
      <c r="AQ52" s="50">
        <v>4300000</v>
      </c>
      <c r="AR52" s="51">
        <f t="shared" si="3"/>
        <v>11180000</v>
      </c>
      <c r="AS52" s="46"/>
      <c r="AT52" s="45"/>
      <c r="AU52" s="45"/>
      <c r="AW52" s="2" t="s">
        <v>127</v>
      </c>
      <c r="AX52" s="19">
        <v>144616320</v>
      </c>
      <c r="AY52" s="19">
        <f>VLOOKUP(Table5[[#This Row],[สินทรัพย์]],Table1[],19,FALSE)</f>
        <v>1</v>
      </c>
      <c r="AZ52" s="17">
        <f>VLOOKUP(AW52,Table1[[สินทรัพย์อ้างอิง]:[TOTAL PAPER]],18,FALSE)</f>
        <v>1</v>
      </c>
    </row>
    <row r="53" spans="1:52">
      <c r="A53" t="s">
        <v>61</v>
      </c>
      <c r="B53">
        <v>6925.76</v>
      </c>
      <c r="C53" s="1"/>
      <c r="F53" s="2" t="s">
        <v>63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f t="shared" si="4"/>
        <v>0</v>
      </c>
      <c r="V53">
        <f t="shared" si="5"/>
        <v>0</v>
      </c>
      <c r="W53">
        <f>SUM(Table1[[#This Row],[FUNDAMENTAL]:[TECHNICAL]])</f>
        <v>0</v>
      </c>
      <c r="X53">
        <v>0</v>
      </c>
      <c r="Y53" s="52">
        <f t="shared" si="6"/>
        <v>39.94</v>
      </c>
      <c r="Z53" s="19">
        <v>34080000</v>
      </c>
      <c r="AO53" t="s">
        <v>374</v>
      </c>
      <c r="AP53" s="42">
        <v>7.05</v>
      </c>
      <c r="AQ53" s="50">
        <v>3848800</v>
      </c>
      <c r="AR53" s="51">
        <f t="shared" si="3"/>
        <v>27134040</v>
      </c>
      <c r="AS53" s="46"/>
      <c r="AT53" s="45"/>
      <c r="AU53" s="45"/>
      <c r="AW53" s="2" t="s">
        <v>168</v>
      </c>
      <c r="AX53" s="19">
        <v>128917800</v>
      </c>
      <c r="AY53" s="19">
        <f>VLOOKUP(Table5[[#This Row],[สินทรัพย์]],Table1[],19,FALSE)</f>
        <v>0</v>
      </c>
      <c r="AZ53" s="17">
        <f>VLOOKUP(AW53,Table1[[สินทรัพย์อ้างอิง]:[TOTAL PAPER]],18,FALSE)</f>
        <v>2</v>
      </c>
    </row>
    <row r="54" spans="1:52">
      <c r="A54" t="s">
        <v>62</v>
      </c>
      <c r="B54">
        <v>7212.08</v>
      </c>
      <c r="C54" s="1"/>
      <c r="F54" s="2" t="s">
        <v>64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f t="shared" si="4"/>
        <v>0</v>
      </c>
      <c r="V54">
        <f t="shared" si="5"/>
        <v>2</v>
      </c>
      <c r="W54">
        <f>SUM(Table1[[#This Row],[FUNDAMENTAL]:[TECHNICAL]])</f>
        <v>2</v>
      </c>
      <c r="X54">
        <v>1</v>
      </c>
      <c r="Y54" s="52">
        <f t="shared" si="6"/>
        <v>1150.51</v>
      </c>
      <c r="Z54" s="19">
        <v>57272800</v>
      </c>
      <c r="AO54" t="s">
        <v>375</v>
      </c>
      <c r="AP54" s="42">
        <v>29</v>
      </c>
      <c r="AQ54" s="50">
        <v>19663382</v>
      </c>
      <c r="AR54" s="51">
        <f t="shared" si="3"/>
        <v>570238078</v>
      </c>
      <c r="AS54" s="46"/>
      <c r="AT54" s="45"/>
      <c r="AU54" s="45"/>
      <c r="AW54" s="2" t="s">
        <v>66</v>
      </c>
      <c r="AX54" s="19">
        <v>127888620</v>
      </c>
      <c r="AY54" s="19">
        <f>VLOOKUP(Table5[[#This Row],[สินทรัพย์]],Table1[],19,FALSE)</f>
        <v>1</v>
      </c>
      <c r="AZ54" s="17">
        <f>VLOOKUP(AW54,Table1[[สินทรัพย์อ้างอิง]:[TOTAL PAPER]],18,FALSE)</f>
        <v>2</v>
      </c>
    </row>
    <row r="55" spans="1:52">
      <c r="A55" t="s">
        <v>63</v>
      </c>
      <c r="B55">
        <v>39.94</v>
      </c>
      <c r="C55" s="1" t="s">
        <v>189</v>
      </c>
      <c r="F55" s="2" t="s">
        <v>65</v>
      </c>
      <c r="G55">
        <v>1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f t="shared" si="4"/>
        <v>2</v>
      </c>
      <c r="V55">
        <f t="shared" si="5"/>
        <v>2</v>
      </c>
      <c r="W55">
        <f>SUM(Table1[[#This Row],[FUNDAMENTAL]:[TECHNICAL]])</f>
        <v>4</v>
      </c>
      <c r="X55">
        <v>1</v>
      </c>
      <c r="Y55" s="52">
        <f t="shared" si="6"/>
        <v>733.06</v>
      </c>
      <c r="Z55" s="19">
        <v>46200000</v>
      </c>
      <c r="AO55" t="s">
        <v>290</v>
      </c>
      <c r="AP55" s="42">
        <v>28</v>
      </c>
      <c r="AQ55" s="50">
        <v>1195000</v>
      </c>
      <c r="AR55" s="51">
        <f t="shared" si="3"/>
        <v>33460000</v>
      </c>
      <c r="AS55" s="45"/>
      <c r="AT55" s="45"/>
      <c r="AU55" s="45"/>
      <c r="AW55" s="2" t="s">
        <v>184</v>
      </c>
      <c r="AX55" s="19">
        <v>117994800</v>
      </c>
      <c r="AY55" s="19">
        <f>VLOOKUP(Table5[[#This Row],[สินทรัพย์]],Table1[],19,FALSE)</f>
        <v>1</v>
      </c>
      <c r="AZ55" s="17">
        <f>VLOOKUP(AW55,Table1[[สินทรัพย์อ้างอิง]:[TOTAL PAPER]],18,FALSE)</f>
        <v>4</v>
      </c>
    </row>
    <row r="56" spans="1:52">
      <c r="A56" t="s">
        <v>64</v>
      </c>
      <c r="B56">
        <v>1150.51</v>
      </c>
      <c r="C56" s="1" t="s">
        <v>190</v>
      </c>
      <c r="F56" s="2" t="s">
        <v>66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f t="shared" si="4"/>
        <v>1</v>
      </c>
      <c r="V56">
        <f t="shared" si="5"/>
        <v>1</v>
      </c>
      <c r="W56">
        <f>SUM(Table1[[#This Row],[FUNDAMENTAL]:[TECHNICAL]])</f>
        <v>2</v>
      </c>
      <c r="X56">
        <v>1</v>
      </c>
      <c r="Y56" s="52">
        <f t="shared" si="6"/>
        <v>660.42</v>
      </c>
      <c r="Z56" s="19">
        <v>127888620</v>
      </c>
      <c r="AO56" t="s">
        <v>249</v>
      </c>
      <c r="AP56" s="42">
        <v>3</v>
      </c>
      <c r="AQ56" s="50">
        <v>5000000</v>
      </c>
      <c r="AR56" s="51">
        <f t="shared" si="3"/>
        <v>15000000</v>
      </c>
      <c r="AS56" s="46"/>
      <c r="AT56" s="45"/>
      <c r="AU56" s="45"/>
      <c r="AW56" s="2" t="s">
        <v>84</v>
      </c>
      <c r="AX56" s="19">
        <v>108612500</v>
      </c>
      <c r="AY56" s="19">
        <f>VLOOKUP(Table5[[#This Row],[สินทรัพย์]],Table1[],19,FALSE)</f>
        <v>1</v>
      </c>
      <c r="AZ56" s="17">
        <f>VLOOKUP(AW56,Table1[[สินทรัพย์อ้างอิง]:[TOTAL PAPER]],18,FALSE)</f>
        <v>1</v>
      </c>
    </row>
    <row r="57" spans="1:52">
      <c r="A57" t="s">
        <v>65</v>
      </c>
      <c r="B57">
        <v>733.06</v>
      </c>
      <c r="C57" s="1"/>
      <c r="F57" s="2" t="s">
        <v>67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f t="shared" si="4"/>
        <v>1</v>
      </c>
      <c r="V57">
        <f t="shared" si="5"/>
        <v>1</v>
      </c>
      <c r="W57">
        <f>SUM(Table1[[#This Row],[FUNDAMENTAL]:[TECHNICAL]])</f>
        <v>2</v>
      </c>
      <c r="X57">
        <v>0</v>
      </c>
      <c r="Y57" s="52">
        <f t="shared" si="6"/>
        <v>1296.95</v>
      </c>
      <c r="Z57" s="19">
        <v>104085600</v>
      </c>
      <c r="AO57" t="s">
        <v>253</v>
      </c>
      <c r="AP57" s="42">
        <v>15.1</v>
      </c>
      <c r="AQ57" s="50">
        <v>8867000</v>
      </c>
      <c r="AR57" s="51">
        <f t="shared" si="3"/>
        <v>133891700</v>
      </c>
      <c r="AS57" s="45"/>
      <c r="AT57" s="45"/>
      <c r="AU57" s="45"/>
      <c r="AW57" s="2" t="s">
        <v>67</v>
      </c>
      <c r="AX57" s="19">
        <v>104085600</v>
      </c>
      <c r="AY57" s="19">
        <f>VLOOKUP(Table5[[#This Row],[สินทรัพย์]],Table1[],19,FALSE)</f>
        <v>0</v>
      </c>
      <c r="AZ57" s="17">
        <f>VLOOKUP(AW57,Table1[[สินทรัพย์อ้างอิง]:[TOTAL PAPER]],18,FALSE)</f>
        <v>2</v>
      </c>
    </row>
    <row r="58" spans="1:52">
      <c r="A58" t="s">
        <v>68</v>
      </c>
      <c r="B58">
        <v>48.6</v>
      </c>
      <c r="C58" s="1"/>
      <c r="F58" s="2" t="s">
        <v>68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f t="shared" si="4"/>
        <v>0</v>
      </c>
      <c r="V58">
        <f t="shared" si="5"/>
        <v>2</v>
      </c>
      <c r="W58">
        <f>SUM(Table1[[#This Row],[FUNDAMENTAL]:[TECHNICAL]])</f>
        <v>2</v>
      </c>
      <c r="X58">
        <v>0</v>
      </c>
      <c r="Y58" s="52">
        <f t="shared" si="6"/>
        <v>48.6</v>
      </c>
      <c r="Z58" s="19">
        <v>14484390</v>
      </c>
      <c r="AO58" t="s">
        <v>264</v>
      </c>
      <c r="AP58" s="42">
        <v>2.96</v>
      </c>
      <c r="AQ58" s="50">
        <v>4200000</v>
      </c>
      <c r="AR58" s="51">
        <f t="shared" si="3"/>
        <v>12432000</v>
      </c>
      <c r="AS58" s="45"/>
      <c r="AT58" s="45"/>
      <c r="AU58" s="45"/>
      <c r="AW58" s="2" t="s">
        <v>81</v>
      </c>
      <c r="AX58" s="19">
        <v>102785048.75</v>
      </c>
      <c r="AY58" s="19">
        <f>VLOOKUP(Table5[[#This Row],[สินทรัพย์]],Table1[],19,FALSE)</f>
        <v>1</v>
      </c>
      <c r="AZ58" s="17">
        <f>VLOOKUP(AW58,Table1[[สินทรัพย์อ้างอิง]:[TOTAL PAPER]],18,FALSE)</f>
        <v>1</v>
      </c>
    </row>
    <row r="59" spans="1:52">
      <c r="A59" t="s">
        <v>70</v>
      </c>
      <c r="B59">
        <v>341.61</v>
      </c>
      <c r="C59" s="1"/>
      <c r="F59" s="2" t="s">
        <v>69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f t="shared" si="4"/>
        <v>1</v>
      </c>
      <c r="V59">
        <f t="shared" si="5"/>
        <v>1</v>
      </c>
      <c r="W59">
        <f>SUM(Table1[[#This Row],[FUNDAMENTAL]:[TECHNICAL]])</f>
        <v>2</v>
      </c>
      <c r="X59">
        <v>0</v>
      </c>
      <c r="Y59" s="52">
        <f t="shared" si="6"/>
        <v>213.97</v>
      </c>
      <c r="Z59" s="19">
        <v>100826880</v>
      </c>
      <c r="AO59" t="s">
        <v>376</v>
      </c>
      <c r="AP59" s="42">
        <v>14.2</v>
      </c>
      <c r="AQ59" s="50">
        <v>4120000</v>
      </c>
      <c r="AR59" s="51">
        <f t="shared" si="3"/>
        <v>58504000</v>
      </c>
      <c r="AS59" s="45"/>
      <c r="AT59" s="45"/>
      <c r="AU59" s="45"/>
      <c r="AW59" s="2" t="s">
        <v>69</v>
      </c>
      <c r="AX59" s="19">
        <v>100826880</v>
      </c>
      <c r="AY59" s="19">
        <f>VLOOKUP(Table5[[#This Row],[สินทรัพย์]],Table1[],19,FALSE)</f>
        <v>0</v>
      </c>
      <c r="AZ59" s="17">
        <f>VLOOKUP(AW59,Table1[[สินทรัพย์อ้างอิง]:[TOTAL PAPER]],18,FALSE)</f>
        <v>2</v>
      </c>
    </row>
    <row r="60" spans="1:52">
      <c r="A60" t="s">
        <v>71</v>
      </c>
      <c r="B60">
        <v>3195.13</v>
      </c>
      <c r="C60" s="1"/>
      <c r="F60" s="2" t="s">
        <v>70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f t="shared" si="4"/>
        <v>0</v>
      </c>
      <c r="V60">
        <f t="shared" si="5"/>
        <v>1</v>
      </c>
      <c r="W60">
        <f>SUM(Table1[[#This Row],[FUNDAMENTAL]:[TECHNICAL]])</f>
        <v>1</v>
      </c>
      <c r="X60">
        <v>0</v>
      </c>
      <c r="Y60" s="52">
        <f t="shared" si="6"/>
        <v>341.61</v>
      </c>
      <c r="Z60" s="19">
        <v>9086000</v>
      </c>
      <c r="AO60" t="s">
        <v>239</v>
      </c>
      <c r="AP60" s="42">
        <v>3.78</v>
      </c>
      <c r="AQ60" s="50">
        <v>5780000</v>
      </c>
      <c r="AR60" s="51">
        <f t="shared" si="3"/>
        <v>21848400</v>
      </c>
      <c r="AS60" s="45"/>
      <c r="AT60" s="45"/>
      <c r="AU60" s="45"/>
      <c r="AW60" s="2" t="s">
        <v>52</v>
      </c>
      <c r="AX60" s="19">
        <v>99197370.000000015</v>
      </c>
      <c r="AY60" s="19">
        <f>VLOOKUP(Table5[[#This Row],[สินทรัพย์]],Table1[],19,FALSE)</f>
        <v>1</v>
      </c>
      <c r="AZ60" s="17">
        <f>VLOOKUP(AW60,Table1[[สินทรัพย์อ้างอิง]:[TOTAL PAPER]],18,FALSE)</f>
        <v>3</v>
      </c>
    </row>
    <row r="61" spans="1:52">
      <c r="A61" t="s">
        <v>72</v>
      </c>
      <c r="B61">
        <v>1140.55</v>
      </c>
      <c r="C61" s="1"/>
      <c r="F61" s="2" t="s">
        <v>71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f t="shared" si="4"/>
        <v>0</v>
      </c>
      <c r="V61">
        <f t="shared" si="5"/>
        <v>2</v>
      </c>
      <c r="W61">
        <f>SUM(Table1[[#This Row],[FUNDAMENTAL]:[TECHNICAL]])</f>
        <v>2</v>
      </c>
      <c r="X61">
        <v>0</v>
      </c>
      <c r="Y61" s="52">
        <f t="shared" si="6"/>
        <v>3195.13</v>
      </c>
      <c r="Z61" s="19">
        <v>45750000</v>
      </c>
      <c r="AO61" t="s">
        <v>302</v>
      </c>
      <c r="AP61" s="42">
        <v>17.8</v>
      </c>
      <c r="AQ61" s="50">
        <v>998400</v>
      </c>
      <c r="AR61" s="51">
        <f t="shared" si="3"/>
        <v>17771520</v>
      </c>
      <c r="AS61" s="45"/>
      <c r="AT61" s="45"/>
      <c r="AU61" s="45"/>
      <c r="AW61" s="2" t="s">
        <v>78</v>
      </c>
      <c r="AX61" s="19">
        <v>95273920.000000015</v>
      </c>
      <c r="AY61" s="19">
        <f>VLOOKUP(Table5[[#This Row],[สินทรัพย์]],Table1[],19,FALSE)</f>
        <v>1</v>
      </c>
      <c r="AZ61" s="17">
        <f>VLOOKUP(AW61,Table1[[สินทรัพย์อ้างอิง]:[TOTAL PAPER]],18,FALSE)</f>
        <v>2</v>
      </c>
    </row>
    <row r="62" spans="1:52">
      <c r="A62" t="s">
        <v>73</v>
      </c>
      <c r="B62">
        <v>27.61</v>
      </c>
      <c r="C62" s="1"/>
      <c r="F62" s="2" t="s">
        <v>72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f t="shared" si="4"/>
        <v>0</v>
      </c>
      <c r="V62">
        <f t="shared" si="5"/>
        <v>1</v>
      </c>
      <c r="W62">
        <f>SUM(Table1[[#This Row],[FUNDAMENTAL]:[TECHNICAL]])</f>
        <v>1</v>
      </c>
      <c r="X62">
        <v>0</v>
      </c>
      <c r="Y62" s="52">
        <f t="shared" si="6"/>
        <v>1140.55</v>
      </c>
      <c r="Z62" s="19">
        <v>13916160</v>
      </c>
      <c r="AO62" t="s">
        <v>377</v>
      </c>
      <c r="AP62" s="42">
        <v>44</v>
      </c>
      <c r="AQ62" s="50">
        <v>102098120</v>
      </c>
      <c r="AR62" s="51">
        <f t="shared" si="3"/>
        <v>4492317280</v>
      </c>
      <c r="AS62" s="45"/>
      <c r="AT62" s="45"/>
      <c r="AU62" s="45"/>
      <c r="AW62" s="2" t="s">
        <v>142</v>
      </c>
      <c r="AX62" s="19">
        <v>93419820</v>
      </c>
      <c r="AY62" s="19">
        <f>VLOOKUP(Table5[[#This Row],[สินทรัพย์]],Table1[],19,FALSE)</f>
        <v>0</v>
      </c>
      <c r="AZ62" s="17">
        <f>VLOOKUP(AW62,Table1[[สินทรัพย์อ้างอิง]:[TOTAL PAPER]],18,FALSE)</f>
        <v>1</v>
      </c>
    </row>
    <row r="63" spans="1:52">
      <c r="A63" t="s">
        <v>81</v>
      </c>
      <c r="B63">
        <v>61.09</v>
      </c>
      <c r="C63" s="1"/>
      <c r="F63" s="2" t="s">
        <v>73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f t="shared" si="4"/>
        <v>0</v>
      </c>
      <c r="V63">
        <f t="shared" si="5"/>
        <v>1</v>
      </c>
      <c r="W63">
        <f>SUM(Table1[[#This Row],[FUNDAMENTAL]:[TECHNICAL]])</f>
        <v>1</v>
      </c>
      <c r="X63">
        <v>1</v>
      </c>
      <c r="Y63" s="52">
        <f t="shared" si="6"/>
        <v>27.61</v>
      </c>
      <c r="Z63" s="19">
        <v>10827300</v>
      </c>
      <c r="AO63" t="s">
        <v>215</v>
      </c>
      <c r="AP63" s="42">
        <v>1.1100000000000001</v>
      </c>
      <c r="AQ63" s="50">
        <v>89367000</v>
      </c>
      <c r="AR63" s="51">
        <f t="shared" si="3"/>
        <v>99197370.000000015</v>
      </c>
      <c r="AS63" s="45"/>
      <c r="AT63" s="45"/>
      <c r="AU63" s="45"/>
      <c r="AW63" s="2" t="s">
        <v>139</v>
      </c>
      <c r="AX63" s="19">
        <v>87984000</v>
      </c>
      <c r="AY63" s="19">
        <f>VLOOKUP(Table5[[#This Row],[สินทรัพย์]],Table1[],19,FALSE)</f>
        <v>1</v>
      </c>
      <c r="AZ63" s="17">
        <f>VLOOKUP(AW63,Table1[[สินทรัพย์อ้างอิง]:[TOTAL PAPER]],18,FALSE)</f>
        <v>3</v>
      </c>
    </row>
    <row r="64" spans="1:52">
      <c r="A64" t="s">
        <v>67</v>
      </c>
      <c r="B64">
        <v>1296.95</v>
      </c>
      <c r="C64" s="1"/>
      <c r="F64" s="2" t="s">
        <v>74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f t="shared" si="4"/>
        <v>1</v>
      </c>
      <c r="V64">
        <f t="shared" si="5"/>
        <v>0</v>
      </c>
      <c r="W64">
        <f>SUM(Table1[[#This Row],[FUNDAMENTAL]:[TECHNICAL]])</f>
        <v>1</v>
      </c>
      <c r="X64">
        <v>0</v>
      </c>
      <c r="Y64" s="52">
        <f t="shared" si="6"/>
        <v>290.73</v>
      </c>
      <c r="Z64" s="19">
        <v>67716400</v>
      </c>
      <c r="AO64" t="s">
        <v>280</v>
      </c>
      <c r="AP64" s="42">
        <v>1.17</v>
      </c>
      <c r="AQ64" s="50">
        <v>11550000</v>
      </c>
      <c r="AR64" s="51">
        <f t="shared" si="3"/>
        <v>13513500</v>
      </c>
      <c r="AS64" s="45"/>
      <c r="AT64" s="45"/>
      <c r="AU64" s="45"/>
      <c r="AW64" s="2" t="s">
        <v>179</v>
      </c>
      <c r="AX64" s="19">
        <v>84110750</v>
      </c>
      <c r="AY64" s="19">
        <f>VLOOKUP(Table5[[#This Row],[สินทรัพย์]],Table1[],19,FALSE)</f>
        <v>1</v>
      </c>
      <c r="AZ64" s="17">
        <f>VLOOKUP(AW64,Table1[[สินทรัพย์อ้างอิง]:[TOTAL PAPER]],18,FALSE)</f>
        <v>4</v>
      </c>
    </row>
    <row r="65" spans="1:52">
      <c r="A65" t="s">
        <v>74</v>
      </c>
      <c r="B65">
        <v>290.73</v>
      </c>
      <c r="C65" s="1"/>
      <c r="F65" s="2" t="s">
        <v>75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f t="shared" si="4"/>
        <v>1</v>
      </c>
      <c r="V65">
        <f t="shared" si="5"/>
        <v>1</v>
      </c>
      <c r="W65">
        <f>SUM(Table1[[#This Row],[FUNDAMENTAL]:[TECHNICAL]])</f>
        <v>2</v>
      </c>
      <c r="X65">
        <v>0</v>
      </c>
      <c r="Y65" s="52">
        <f t="shared" si="6"/>
        <v>16539.95</v>
      </c>
      <c r="Z65" s="19">
        <v>260988000</v>
      </c>
      <c r="AO65" t="s">
        <v>378</v>
      </c>
      <c r="AP65" s="42">
        <v>2.3199999999999998</v>
      </c>
      <c r="AQ65" s="50">
        <v>68850000</v>
      </c>
      <c r="AR65" s="51">
        <f t="shared" si="3"/>
        <v>159732000</v>
      </c>
      <c r="AS65" s="45"/>
      <c r="AT65" s="45"/>
      <c r="AU65" s="45"/>
      <c r="AW65" s="2" t="s">
        <v>125</v>
      </c>
      <c r="AX65" s="19">
        <v>81454905</v>
      </c>
      <c r="AY65" s="19">
        <f>VLOOKUP(Table5[[#This Row],[สินทรัพย์]],Table1[],19,FALSE)</f>
        <v>0</v>
      </c>
      <c r="AZ65" s="17">
        <f>VLOOKUP(AW65,Table1[[สินทรัพย์อ้างอิง]:[TOTAL PAPER]],18,FALSE)</f>
        <v>3</v>
      </c>
    </row>
    <row r="66" spans="1:52">
      <c r="A66" t="s">
        <v>69</v>
      </c>
      <c r="B66">
        <v>213.97</v>
      </c>
      <c r="C66" s="1"/>
      <c r="F66" s="2" t="s">
        <v>76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1</v>
      </c>
      <c r="U66">
        <f t="shared" si="4"/>
        <v>0</v>
      </c>
      <c r="V66">
        <f t="shared" si="5"/>
        <v>3</v>
      </c>
      <c r="W66">
        <f>SUM(Table1[[#This Row],[FUNDAMENTAL]:[TECHNICAL]])</f>
        <v>3</v>
      </c>
      <c r="X66">
        <v>1</v>
      </c>
      <c r="Y66" s="52">
        <f t="shared" si="6"/>
        <v>521.09</v>
      </c>
      <c r="Z66" s="19">
        <v>36294840</v>
      </c>
      <c r="AO66" t="s">
        <v>379</v>
      </c>
      <c r="AP66" s="42">
        <v>11.9</v>
      </c>
      <c r="AQ66" s="50">
        <v>65518280</v>
      </c>
      <c r="AR66" s="51">
        <f t="shared" si="3"/>
        <v>779667532</v>
      </c>
      <c r="AS66" s="46"/>
      <c r="AT66" s="45"/>
      <c r="AU66" s="45"/>
      <c r="AW66" s="2" t="s">
        <v>167</v>
      </c>
      <c r="AX66" s="19">
        <v>76160000</v>
      </c>
      <c r="AY66" s="19">
        <f>VLOOKUP(Table5[[#This Row],[สินทรัพย์]],Table1[],19,FALSE)</f>
        <v>0</v>
      </c>
      <c r="AZ66" s="17">
        <f>VLOOKUP(AW66,Table1[[สินทรัพย์อ้างอิง]:[TOTAL PAPER]],18,FALSE)</f>
        <v>0</v>
      </c>
    </row>
    <row r="67" spans="1:52">
      <c r="A67" t="s">
        <v>75</v>
      </c>
      <c r="B67">
        <v>16539.95</v>
      </c>
      <c r="C67" s="1"/>
      <c r="F67" s="2" t="s">
        <v>77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f t="shared" si="4"/>
        <v>1</v>
      </c>
      <c r="V67">
        <f t="shared" si="5"/>
        <v>1</v>
      </c>
      <c r="W67">
        <f>SUM(Table1[[#This Row],[FUNDAMENTAL]:[TECHNICAL]])</f>
        <v>2</v>
      </c>
      <c r="X67">
        <v>1</v>
      </c>
      <c r="Y67" s="52">
        <f t="shared" si="6"/>
        <v>2499.7800000000002</v>
      </c>
      <c r="Z67" s="19">
        <v>200200320</v>
      </c>
      <c r="AO67" t="s">
        <v>380</v>
      </c>
      <c r="AP67" s="42">
        <v>46.75</v>
      </c>
      <c r="AQ67" s="50">
        <v>124544000</v>
      </c>
      <c r="AR67" s="51">
        <f t="shared" si="3"/>
        <v>5822432000</v>
      </c>
      <c r="AS67" s="45"/>
      <c r="AT67" s="45"/>
      <c r="AU67" s="45"/>
      <c r="AW67" s="2" t="s">
        <v>74</v>
      </c>
      <c r="AX67" s="19">
        <v>67716400</v>
      </c>
      <c r="AY67" s="19">
        <f>VLOOKUP(Table5[[#This Row],[สินทรัพย์]],Table1[],19,FALSE)</f>
        <v>0</v>
      </c>
      <c r="AZ67" s="17">
        <f>VLOOKUP(AW67,Table1[[สินทรัพย์อ้างอิง]:[TOTAL PAPER]],18,FALSE)</f>
        <v>1</v>
      </c>
    </row>
    <row r="68" spans="1:52">
      <c r="A68" t="s">
        <v>76</v>
      </c>
      <c r="B68">
        <v>521.09</v>
      </c>
      <c r="C68" s="1"/>
      <c r="F68" s="2" t="s">
        <v>78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f t="shared" ref="U68:U99" si="7">SUM(G68:H68,K68:Q68,S68)</f>
        <v>0</v>
      </c>
      <c r="V68">
        <f t="shared" ref="V68:V99" si="8">SUM(J68,R68,T68)</f>
        <v>2</v>
      </c>
      <c r="W68">
        <f>SUM(Table1[[#This Row],[FUNDAMENTAL]:[TECHNICAL]])</f>
        <v>2</v>
      </c>
      <c r="X68">
        <v>1</v>
      </c>
      <c r="Y68" s="52">
        <f t="shared" ref="Y68:Y99" si="9">VLOOKUP(F68,$A$3:$B$174,2,FALSE)</f>
        <v>58.73</v>
      </c>
      <c r="Z68" s="19">
        <v>95273920.000000015</v>
      </c>
      <c r="AO68" t="s">
        <v>381</v>
      </c>
      <c r="AP68" s="42">
        <v>4.4800000000000004</v>
      </c>
      <c r="AQ68" s="50">
        <v>2200000</v>
      </c>
      <c r="AR68" s="51">
        <f t="shared" ref="AR68:AR131" si="10">AP68*AQ68</f>
        <v>9856000.0000000019</v>
      </c>
      <c r="AS68" s="45"/>
      <c r="AT68" s="45"/>
      <c r="AU68" s="45"/>
      <c r="AW68" s="2" t="s">
        <v>162</v>
      </c>
      <c r="AX68" s="19">
        <v>67451960</v>
      </c>
      <c r="AY68" s="19">
        <f>VLOOKUP(Table5[[#This Row],[สินทรัพย์]],Table1[],19,FALSE)</f>
        <v>0</v>
      </c>
      <c r="AZ68" s="17">
        <f>VLOOKUP(AW68,Table1[[สินทรัพย์อ้างอิง]:[TOTAL PAPER]],18,FALSE)</f>
        <v>1</v>
      </c>
    </row>
    <row r="69" spans="1:52">
      <c r="A69" t="s">
        <v>129</v>
      </c>
      <c r="B69">
        <v>6580.89</v>
      </c>
      <c r="C69" s="1" t="s">
        <v>191</v>
      </c>
      <c r="F69" s="2" t="s">
        <v>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f t="shared" si="7"/>
        <v>0</v>
      </c>
      <c r="V69">
        <f t="shared" si="8"/>
        <v>1</v>
      </c>
      <c r="W69">
        <f>SUM(Table1[[#This Row],[FUNDAMENTAL]:[TECHNICAL]])</f>
        <v>1</v>
      </c>
      <c r="X69">
        <v>0</v>
      </c>
      <c r="Y69" s="52">
        <f t="shared" si="9"/>
        <v>996.35</v>
      </c>
      <c r="Z69" s="19">
        <v>18733200</v>
      </c>
      <c r="AO69" t="s">
        <v>382</v>
      </c>
      <c r="AP69" s="42">
        <v>2.78</v>
      </c>
      <c r="AQ69" s="50">
        <v>2500000</v>
      </c>
      <c r="AR69" s="51">
        <f t="shared" si="10"/>
        <v>6949999.9999999991</v>
      </c>
      <c r="AS69" s="45"/>
      <c r="AT69" s="45"/>
      <c r="AU69" s="45"/>
      <c r="AW69" s="2" t="s">
        <v>111</v>
      </c>
      <c r="AX69" s="19">
        <v>63543000</v>
      </c>
      <c r="AY69" s="19">
        <f>VLOOKUP(Table5[[#This Row],[สินทรัพย์]],Table1[],19,FALSE)</f>
        <v>1</v>
      </c>
      <c r="AZ69" s="17">
        <f>VLOOKUP(AW69,Table1[[สินทรัพย์อ้างอิง]:[TOTAL PAPER]],18,FALSE)</f>
        <v>4</v>
      </c>
    </row>
    <row r="70" spans="1:52">
      <c r="A70" t="s">
        <v>78</v>
      </c>
      <c r="B70">
        <v>58.73</v>
      </c>
      <c r="C70" s="1"/>
      <c r="F70" s="2" t="s">
        <v>80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f t="shared" si="7"/>
        <v>1</v>
      </c>
      <c r="V70">
        <f t="shared" si="8"/>
        <v>1</v>
      </c>
      <c r="W70">
        <f>SUM(Table1[[#This Row],[FUNDAMENTAL]:[TECHNICAL]])</f>
        <v>2</v>
      </c>
      <c r="X70">
        <v>0</v>
      </c>
      <c r="Y70" s="52">
        <f t="shared" si="9"/>
        <v>32.21</v>
      </c>
      <c r="Z70" s="19">
        <v>2865800</v>
      </c>
      <c r="AO70" t="s">
        <v>383</v>
      </c>
      <c r="AP70" s="42">
        <v>7</v>
      </c>
      <c r="AQ70" s="50">
        <v>5310000</v>
      </c>
      <c r="AR70" s="51">
        <f t="shared" si="10"/>
        <v>37170000</v>
      </c>
      <c r="AS70" s="45"/>
      <c r="AT70" s="45"/>
      <c r="AU70" s="45"/>
      <c r="AW70" s="2" t="s">
        <v>145</v>
      </c>
      <c r="AX70" s="19">
        <v>61655040</v>
      </c>
      <c r="AY70" s="19">
        <f>VLOOKUP(Table5[[#This Row],[สินทรัพย์]],Table1[],19,FALSE)</f>
        <v>1</v>
      </c>
      <c r="AZ70" s="17">
        <f>VLOOKUP(AW70,Table1[[สินทรัพย์อ้างอิง]:[TOTAL PAPER]],18,FALSE)</f>
        <v>3</v>
      </c>
    </row>
    <row r="71" spans="1:52">
      <c r="A71" t="s">
        <v>79</v>
      </c>
      <c r="B71">
        <v>996.35</v>
      </c>
      <c r="C71" s="1"/>
      <c r="F71" s="2" t="s">
        <v>82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f t="shared" si="7"/>
        <v>0</v>
      </c>
      <c r="V71">
        <f t="shared" si="8"/>
        <v>1</v>
      </c>
      <c r="W71">
        <f>SUM(Table1[[#This Row],[FUNDAMENTAL]:[TECHNICAL]])</f>
        <v>1</v>
      </c>
      <c r="X71">
        <v>0</v>
      </c>
      <c r="Y71" s="52">
        <f t="shared" si="9"/>
        <v>13.79</v>
      </c>
      <c r="Z71" s="19">
        <v>19136400</v>
      </c>
      <c r="AO71" t="s">
        <v>384</v>
      </c>
      <c r="AP71" s="42">
        <v>3.2</v>
      </c>
      <c r="AQ71" s="50">
        <v>12860000</v>
      </c>
      <c r="AR71" s="51">
        <f t="shared" si="10"/>
        <v>41152000</v>
      </c>
      <c r="AS71" s="45"/>
      <c r="AT71" s="45"/>
      <c r="AU71" s="45"/>
      <c r="AW71" s="2" t="s">
        <v>173</v>
      </c>
      <c r="AX71" s="19">
        <v>58751350.5</v>
      </c>
      <c r="AY71" s="19">
        <f>VLOOKUP(Table5[[#This Row],[สินทรัพย์]],Table1[],19,FALSE)</f>
        <v>0</v>
      </c>
      <c r="AZ71" s="17">
        <f>VLOOKUP(AW71,Table1[[สินทรัพย์อ้างอิง]:[TOTAL PAPER]],18,FALSE)</f>
        <v>2</v>
      </c>
    </row>
    <row r="72" spans="1:52">
      <c r="A72" t="s">
        <v>83</v>
      </c>
      <c r="B72">
        <v>3091.28</v>
      </c>
      <c r="C72" s="1"/>
      <c r="F72" s="2" t="s">
        <v>81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f t="shared" si="7"/>
        <v>1</v>
      </c>
      <c r="V72">
        <f t="shared" si="8"/>
        <v>0</v>
      </c>
      <c r="W72">
        <f>SUM(Table1[[#This Row],[FUNDAMENTAL]:[TECHNICAL]])</f>
        <v>1</v>
      </c>
      <c r="X72">
        <v>1</v>
      </c>
      <c r="Y72" s="52">
        <f t="shared" si="9"/>
        <v>61.09</v>
      </c>
      <c r="Z72" s="19">
        <v>102785048.75</v>
      </c>
      <c r="AO72" t="s">
        <v>385</v>
      </c>
      <c r="AP72" s="42">
        <v>12.8</v>
      </c>
      <c r="AQ72" s="50">
        <v>23319000</v>
      </c>
      <c r="AR72" s="51">
        <f t="shared" si="10"/>
        <v>298483200</v>
      </c>
      <c r="AS72" s="45"/>
      <c r="AT72" s="45"/>
      <c r="AU72" s="45"/>
      <c r="AW72" s="2" t="s">
        <v>49</v>
      </c>
      <c r="AX72" s="19">
        <v>58504000</v>
      </c>
      <c r="AY72" s="19">
        <f>VLOOKUP(Table5[[#This Row],[สินทรัพย์]],Table1[],19,FALSE)</f>
        <v>0</v>
      </c>
      <c r="AZ72" s="17">
        <f>VLOOKUP(AW72,Table1[[สินทรัพย์อ้างอิง]:[TOTAL PAPER]],18,FALSE)</f>
        <v>2</v>
      </c>
    </row>
    <row r="73" spans="1:52">
      <c r="A73" t="s">
        <v>84</v>
      </c>
      <c r="B73">
        <v>718.73</v>
      </c>
      <c r="C73" s="1"/>
      <c r="F73" s="2" t="s">
        <v>83</v>
      </c>
      <c r="G73">
        <v>1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0</v>
      </c>
      <c r="R73">
        <v>1</v>
      </c>
      <c r="S73">
        <v>0</v>
      </c>
      <c r="T73">
        <v>1</v>
      </c>
      <c r="U73">
        <f t="shared" si="7"/>
        <v>5</v>
      </c>
      <c r="V73">
        <f t="shared" si="8"/>
        <v>2</v>
      </c>
      <c r="W73">
        <f>SUM(Table1[[#This Row],[FUNDAMENTAL]:[TECHNICAL]])</f>
        <v>7</v>
      </c>
      <c r="X73">
        <v>1</v>
      </c>
      <c r="Y73" s="52">
        <f t="shared" si="9"/>
        <v>3091.28</v>
      </c>
      <c r="Z73" s="19">
        <v>454747500</v>
      </c>
      <c r="AO73" t="s">
        <v>259</v>
      </c>
      <c r="AP73" s="42">
        <v>42.5</v>
      </c>
      <c r="AQ73" s="50">
        <v>3892800</v>
      </c>
      <c r="AR73" s="51">
        <f t="shared" si="10"/>
        <v>165444000</v>
      </c>
      <c r="AS73" s="45"/>
      <c r="AT73" s="45"/>
      <c r="AU73" s="45"/>
      <c r="AW73" s="2" t="s">
        <v>64</v>
      </c>
      <c r="AX73" s="19">
        <v>57272800</v>
      </c>
      <c r="AY73" s="19">
        <f>VLOOKUP(Table5[[#This Row],[สินทรัพย์]],Table1[],19,FALSE)</f>
        <v>1</v>
      </c>
      <c r="AZ73" s="17">
        <f>VLOOKUP(AW73,Table1[[สินทรัพย์อ้างอิง]:[TOTAL PAPER]],18,FALSE)</f>
        <v>2</v>
      </c>
    </row>
    <row r="74" spans="1:52">
      <c r="A74" t="s">
        <v>85</v>
      </c>
      <c r="B74">
        <v>39.229999999999997</v>
      </c>
      <c r="C74" s="1"/>
      <c r="F74" s="2" t="s">
        <v>84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f t="shared" si="7"/>
        <v>0</v>
      </c>
      <c r="V74">
        <f t="shared" si="8"/>
        <v>1</v>
      </c>
      <c r="W74">
        <f>SUM(Table1[[#This Row],[FUNDAMENTAL]:[TECHNICAL]])</f>
        <v>1</v>
      </c>
      <c r="X74">
        <v>1</v>
      </c>
      <c r="Y74" s="52">
        <f t="shared" si="9"/>
        <v>718.73</v>
      </c>
      <c r="Z74" s="19">
        <v>108612500</v>
      </c>
      <c r="AO74" t="s">
        <v>216</v>
      </c>
      <c r="AP74" s="42">
        <v>5.05</v>
      </c>
      <c r="AQ74" s="50">
        <v>840502000</v>
      </c>
      <c r="AR74" s="51">
        <f t="shared" si="10"/>
        <v>4244535100</v>
      </c>
      <c r="AS74" s="45"/>
      <c r="AT74" s="45"/>
      <c r="AU74" s="45"/>
      <c r="AW74" s="2" t="s">
        <v>36</v>
      </c>
      <c r="AX74" s="19">
        <v>56495800</v>
      </c>
      <c r="AY74" s="19">
        <f>VLOOKUP(Table5[[#This Row],[สินทรัพย์]],Table1[],19,FALSE)</f>
        <v>1</v>
      </c>
      <c r="AZ74" s="17">
        <f>VLOOKUP(AW74,Table1[[สินทรัพย์อ้างอิง]:[TOTAL PAPER]],18,FALSE)</f>
        <v>3</v>
      </c>
    </row>
    <row r="75" spans="1:52">
      <c r="A75" t="s">
        <v>86</v>
      </c>
      <c r="B75">
        <v>126.55</v>
      </c>
      <c r="C75" s="1" t="s">
        <v>32</v>
      </c>
      <c r="F75" s="2" t="s">
        <v>85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f t="shared" si="7"/>
        <v>0</v>
      </c>
      <c r="V75">
        <f t="shared" si="8"/>
        <v>0</v>
      </c>
      <c r="W75">
        <f>SUM(Table1[[#This Row],[FUNDAMENTAL]:[TECHNICAL]])</f>
        <v>0</v>
      </c>
      <c r="X75">
        <v>0</v>
      </c>
      <c r="Y75" s="52">
        <f t="shared" si="9"/>
        <v>39.229999999999997</v>
      </c>
      <c r="Z75" s="19">
        <v>10266400</v>
      </c>
      <c r="AO75" t="s">
        <v>262</v>
      </c>
      <c r="AP75" s="42">
        <v>29.5</v>
      </c>
      <c r="AQ75" s="50">
        <v>5556620</v>
      </c>
      <c r="AR75" s="51">
        <f t="shared" si="10"/>
        <v>163920290</v>
      </c>
      <c r="AS75" s="45"/>
      <c r="AT75" s="45"/>
      <c r="AU75" s="45"/>
      <c r="AW75" s="2" t="s">
        <v>169</v>
      </c>
      <c r="AX75" s="19">
        <v>54561600</v>
      </c>
      <c r="AY75" s="19">
        <f>VLOOKUP(Table5[[#This Row],[สินทรัพย์]],Table1[],19,FALSE)</f>
        <v>0</v>
      </c>
      <c r="AZ75" s="17">
        <f>VLOOKUP(AW75,Table1[[สินทรัพย์อ้างอิง]:[TOTAL PAPER]],18,FALSE)</f>
        <v>2</v>
      </c>
    </row>
    <row r="76" spans="1:52">
      <c r="A76" t="s">
        <v>87</v>
      </c>
      <c r="B76">
        <v>61.25</v>
      </c>
      <c r="C76" s="1"/>
      <c r="F76" s="2" t="s">
        <v>86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f t="shared" si="7"/>
        <v>2</v>
      </c>
      <c r="V76">
        <f t="shared" si="8"/>
        <v>1</v>
      </c>
      <c r="W76">
        <f>SUM(Table1[[#This Row],[FUNDAMENTAL]:[TECHNICAL]])</f>
        <v>3</v>
      </c>
      <c r="X76">
        <v>0</v>
      </c>
      <c r="Y76" s="52">
        <f t="shared" si="9"/>
        <v>126.55</v>
      </c>
      <c r="Z76" s="19">
        <v>52174500</v>
      </c>
      <c r="AO76" t="s">
        <v>244</v>
      </c>
      <c r="AP76" s="42">
        <v>5.05</v>
      </c>
      <c r="AQ76" s="50">
        <v>4800000</v>
      </c>
      <c r="AR76" s="51">
        <f t="shared" si="10"/>
        <v>24240000</v>
      </c>
      <c r="AS76" s="45"/>
      <c r="AT76" s="45"/>
      <c r="AU76" s="45"/>
      <c r="AW76" s="2" t="s">
        <v>115</v>
      </c>
      <c r="AX76" s="19">
        <v>53535110</v>
      </c>
      <c r="AY76" s="19">
        <f>VLOOKUP(Table5[[#This Row],[สินทรัพย์]],Table1[],19,FALSE)</f>
        <v>1</v>
      </c>
      <c r="AZ76" s="17">
        <f>VLOOKUP(AW76,Table1[[สินทรัพย์อ้างอิง]:[TOTAL PAPER]],18,FALSE)</f>
        <v>3</v>
      </c>
    </row>
    <row r="77" spans="1:52">
      <c r="A77" t="s">
        <v>158</v>
      </c>
      <c r="B77">
        <v>38.71</v>
      </c>
      <c r="C77" s="1"/>
      <c r="F77" s="2" t="s">
        <v>87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f t="shared" si="7"/>
        <v>1</v>
      </c>
      <c r="V77">
        <f t="shared" si="8"/>
        <v>0</v>
      </c>
      <c r="W77">
        <f>SUM(Table1[[#This Row],[FUNDAMENTAL]:[TECHNICAL]])</f>
        <v>1</v>
      </c>
      <c r="X77">
        <v>1</v>
      </c>
      <c r="Y77" s="52">
        <f t="shared" si="9"/>
        <v>61.25</v>
      </c>
      <c r="Z77" s="19">
        <v>4510000</v>
      </c>
      <c r="AO77" t="s">
        <v>261</v>
      </c>
      <c r="AP77" s="42">
        <v>16</v>
      </c>
      <c r="AQ77" s="50">
        <v>10747900</v>
      </c>
      <c r="AR77" s="51">
        <f t="shared" si="10"/>
        <v>171966400</v>
      </c>
      <c r="AS77" s="45"/>
      <c r="AT77" s="45"/>
      <c r="AU77" s="45"/>
      <c r="AW77" s="2" t="s">
        <v>86</v>
      </c>
      <c r="AX77" s="19">
        <v>52174500</v>
      </c>
      <c r="AY77" s="19">
        <f>VLOOKUP(Table5[[#This Row],[สินทรัพย์]],Table1[],19,FALSE)</f>
        <v>0</v>
      </c>
      <c r="AZ77" s="17">
        <f>VLOOKUP(AW77,Table1[[สินทรัพย์อ้างอิง]:[TOTAL PAPER]],18,FALSE)</f>
        <v>3</v>
      </c>
    </row>
    <row r="78" spans="1:52">
      <c r="A78" t="s">
        <v>159</v>
      </c>
      <c r="B78">
        <v>123.14</v>
      </c>
      <c r="C78" s="1"/>
      <c r="F78" s="2" t="s">
        <v>88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f t="shared" si="7"/>
        <v>1</v>
      </c>
      <c r="V78">
        <f t="shared" si="8"/>
        <v>0</v>
      </c>
      <c r="W78">
        <f>SUM(Table1[[#This Row],[FUNDAMENTAL]:[TECHNICAL]])</f>
        <v>1</v>
      </c>
      <c r="X78">
        <v>1</v>
      </c>
      <c r="Y78" s="52">
        <f t="shared" si="9"/>
        <v>410.32</v>
      </c>
      <c r="Z78" s="19">
        <v>4920720</v>
      </c>
      <c r="AO78" t="s">
        <v>252</v>
      </c>
      <c r="AP78" s="42">
        <v>4.26</v>
      </c>
      <c r="AQ78" s="50">
        <v>8000000</v>
      </c>
      <c r="AR78" s="51">
        <f t="shared" si="10"/>
        <v>34080000</v>
      </c>
      <c r="AS78" s="45"/>
      <c r="AT78" s="45"/>
      <c r="AU78" s="45"/>
      <c r="AW78" s="2" t="s">
        <v>157</v>
      </c>
      <c r="AX78" s="19">
        <v>50528125</v>
      </c>
      <c r="AY78" s="19">
        <f>VLOOKUP(Table5[[#This Row],[สินทรัพย์]],Table1[],19,FALSE)</f>
        <v>0</v>
      </c>
      <c r="AZ78" s="17">
        <f>VLOOKUP(AW78,Table1[[สินทรัพย์อ้างอิง]:[TOTAL PAPER]],18,FALSE)</f>
        <v>1</v>
      </c>
    </row>
    <row r="79" spans="1:52">
      <c r="A79" t="s">
        <v>88</v>
      </c>
      <c r="B79">
        <v>410.32</v>
      </c>
      <c r="C79" s="1"/>
      <c r="F79" s="2" t="s">
        <v>89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f t="shared" si="7"/>
        <v>1</v>
      </c>
      <c r="V79">
        <f t="shared" si="8"/>
        <v>2</v>
      </c>
      <c r="W79">
        <f>SUM(Table1[[#This Row],[FUNDAMENTAL]:[TECHNICAL]])</f>
        <v>3</v>
      </c>
      <c r="X79">
        <v>1</v>
      </c>
      <c r="Y79" s="52">
        <f t="shared" si="9"/>
        <v>471.09</v>
      </c>
      <c r="Z79" s="19">
        <v>34479680</v>
      </c>
      <c r="AO79" t="s">
        <v>386</v>
      </c>
      <c r="AP79" s="42">
        <v>10.4</v>
      </c>
      <c r="AQ79" s="50">
        <v>5507000</v>
      </c>
      <c r="AR79" s="51">
        <f t="shared" si="10"/>
        <v>57272800</v>
      </c>
      <c r="AS79" s="45"/>
      <c r="AT79" s="45"/>
      <c r="AU79" s="45"/>
      <c r="AW79" s="2" t="s">
        <v>107</v>
      </c>
      <c r="AX79" s="19">
        <v>49245000</v>
      </c>
      <c r="AY79" s="19">
        <f>VLOOKUP(Table5[[#This Row],[สินทรัพย์]],Table1[],19,FALSE)</f>
        <v>1</v>
      </c>
      <c r="AZ79" s="17">
        <f>VLOOKUP(AW79,Table1[[สินทรัพย์อ้างอิง]:[TOTAL PAPER]],18,FALSE)</f>
        <v>3</v>
      </c>
    </row>
    <row r="80" spans="1:52">
      <c r="A80" t="s">
        <v>89</v>
      </c>
      <c r="B80">
        <v>471.09</v>
      </c>
      <c r="C80" s="1"/>
      <c r="F80" s="2" t="s">
        <v>90</v>
      </c>
      <c r="G80">
        <v>1</v>
      </c>
      <c r="H80">
        <v>0</v>
      </c>
      <c r="I80">
        <v>0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f t="shared" si="7"/>
        <v>3</v>
      </c>
      <c r="V80">
        <f t="shared" si="8"/>
        <v>3</v>
      </c>
      <c r="W80">
        <f>SUM(Table1[[#This Row],[FUNDAMENTAL]:[TECHNICAL]])</f>
        <v>6</v>
      </c>
      <c r="X80">
        <v>2</v>
      </c>
      <c r="Y80" s="52">
        <f t="shared" si="9"/>
        <v>70263.33</v>
      </c>
      <c r="Z80" s="19">
        <v>1906123200</v>
      </c>
      <c r="AO80" t="s">
        <v>266</v>
      </c>
      <c r="AP80" s="42">
        <v>7.7</v>
      </c>
      <c r="AQ80" s="50">
        <v>6000000</v>
      </c>
      <c r="AR80" s="51">
        <f t="shared" si="10"/>
        <v>46200000</v>
      </c>
      <c r="AS80" s="45"/>
      <c r="AT80" s="45"/>
      <c r="AU80" s="45"/>
      <c r="AW80" s="2" t="s">
        <v>122</v>
      </c>
      <c r="AX80" s="19">
        <v>48165600</v>
      </c>
      <c r="AY80" s="19">
        <f>VLOOKUP(Table5[[#This Row],[สินทรัพย์]],Table1[],19,FALSE)</f>
        <v>1</v>
      </c>
      <c r="AZ80" s="17">
        <f>VLOOKUP(AW80,Table1[[สินทรัพย์อ้างอิง]:[TOTAL PAPER]],18,FALSE)</f>
        <v>4</v>
      </c>
    </row>
    <row r="81" spans="1:52">
      <c r="A81" t="s">
        <v>90</v>
      </c>
      <c r="B81">
        <v>70263.33</v>
      </c>
      <c r="C81" s="1" t="s">
        <v>32</v>
      </c>
      <c r="F81" s="2" t="s">
        <v>91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f t="shared" si="7"/>
        <v>0</v>
      </c>
      <c r="V81">
        <f t="shared" si="8"/>
        <v>0</v>
      </c>
      <c r="W81">
        <f>SUM(Table1[[#This Row],[FUNDAMENTAL]:[TECHNICAL]])</f>
        <v>0</v>
      </c>
      <c r="X81">
        <v>0</v>
      </c>
      <c r="Y81" s="52">
        <f t="shared" si="9"/>
        <v>19.52</v>
      </c>
      <c r="Z81" s="19">
        <v>9516000</v>
      </c>
      <c r="AO81" t="s">
        <v>387</v>
      </c>
      <c r="AP81" s="42">
        <v>21.2</v>
      </c>
      <c r="AQ81" s="50">
        <v>4083850</v>
      </c>
      <c r="AR81" s="51">
        <f t="shared" si="10"/>
        <v>86577620</v>
      </c>
      <c r="AS81" s="45"/>
      <c r="AT81" s="45"/>
      <c r="AU81" s="45"/>
      <c r="AW81" s="2" t="s">
        <v>15</v>
      </c>
      <c r="AX81" s="19">
        <v>47059400</v>
      </c>
      <c r="AY81" s="19">
        <f>VLOOKUP(Table5[[#This Row],[สินทรัพย์]],Table1[],19,FALSE)</f>
        <v>0</v>
      </c>
      <c r="AZ81" s="17">
        <f>VLOOKUP(AW81,Table1[[สินทรัพย์อ้างอิง]:[TOTAL PAPER]],18,FALSE)</f>
        <v>4</v>
      </c>
    </row>
    <row r="82" spans="1:52">
      <c r="A82" t="s">
        <v>94</v>
      </c>
      <c r="B82">
        <v>327.62</v>
      </c>
      <c r="C82" s="1"/>
      <c r="F82" s="2" t="s">
        <v>92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f t="shared" si="7"/>
        <v>2</v>
      </c>
      <c r="V82">
        <f t="shared" si="8"/>
        <v>2</v>
      </c>
      <c r="W82">
        <f>SUM(Table1[[#This Row],[FUNDAMENTAL]:[TECHNICAL]])</f>
        <v>4</v>
      </c>
      <c r="X82">
        <v>1</v>
      </c>
      <c r="Y82" s="52">
        <f t="shared" si="9"/>
        <v>8627.77</v>
      </c>
      <c r="Z82" s="19">
        <v>237650000</v>
      </c>
      <c r="AO82" t="s">
        <v>388</v>
      </c>
      <c r="AP82" s="42">
        <v>5.45</v>
      </c>
      <c r="AQ82" s="50">
        <v>7580000</v>
      </c>
      <c r="AR82" s="51">
        <f t="shared" si="10"/>
        <v>41311000</v>
      </c>
      <c r="AS82" s="45"/>
      <c r="AT82" s="45"/>
      <c r="AU82" s="45"/>
      <c r="AW82" s="2" t="s">
        <v>65</v>
      </c>
      <c r="AX82" s="19">
        <v>46200000</v>
      </c>
      <c r="AY82" s="19">
        <f>VLOOKUP(Table5[[#This Row],[สินทรัพย์]],Table1[],19,FALSE)</f>
        <v>1</v>
      </c>
      <c r="AZ82" s="17">
        <f>VLOOKUP(AW82,Table1[[สินทรัพย์อ้างอิง]:[TOTAL PAPER]],18,FALSE)</f>
        <v>4</v>
      </c>
    </row>
    <row r="83" spans="1:52">
      <c r="A83" t="s">
        <v>91</v>
      </c>
      <c r="B83">
        <v>19.52</v>
      </c>
      <c r="C83" s="1"/>
      <c r="F83" s="2" t="s">
        <v>93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f t="shared" si="7"/>
        <v>1</v>
      </c>
      <c r="V83">
        <f t="shared" si="8"/>
        <v>2</v>
      </c>
      <c r="W83">
        <f>SUM(Table1[[#This Row],[FUNDAMENTAL]:[TECHNICAL]])</f>
        <v>3</v>
      </c>
      <c r="X83">
        <v>1</v>
      </c>
      <c r="Y83" s="52">
        <f t="shared" si="9"/>
        <v>50.33</v>
      </c>
      <c r="Z83" s="19">
        <v>9497500</v>
      </c>
      <c r="AO83" t="s">
        <v>389</v>
      </c>
      <c r="AP83" s="42">
        <v>24.8</v>
      </c>
      <c r="AQ83" s="50">
        <v>4197000</v>
      </c>
      <c r="AR83" s="51">
        <f t="shared" si="10"/>
        <v>104085600</v>
      </c>
      <c r="AS83" s="45"/>
      <c r="AT83" s="45"/>
      <c r="AU83" s="45"/>
      <c r="AW83" s="2" t="s">
        <v>133</v>
      </c>
      <c r="AX83" s="19">
        <v>45892260</v>
      </c>
      <c r="AY83" s="19">
        <f>VLOOKUP(Table5[[#This Row],[สินทรัพย์]],Table1[],19,FALSE)</f>
        <v>1</v>
      </c>
      <c r="AZ83" s="17">
        <f>VLOOKUP(AW83,Table1[[สินทรัพย์อ้างอิง]:[TOTAL PAPER]],18,FALSE)</f>
        <v>2</v>
      </c>
    </row>
    <row r="84" spans="1:52">
      <c r="A84" t="s">
        <v>92</v>
      </c>
      <c r="B84">
        <v>8627.77</v>
      </c>
      <c r="C84" s="1"/>
      <c r="F84" s="2" t="s">
        <v>94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f t="shared" si="7"/>
        <v>0</v>
      </c>
      <c r="V84">
        <f t="shared" si="8"/>
        <v>0</v>
      </c>
      <c r="W84">
        <f>SUM(Table1[[#This Row],[FUNDAMENTAL]:[TECHNICAL]])</f>
        <v>0</v>
      </c>
      <c r="X84">
        <v>0</v>
      </c>
      <c r="Y84" s="52">
        <f t="shared" si="9"/>
        <v>327.62</v>
      </c>
      <c r="Z84" s="19">
        <v>17780000</v>
      </c>
      <c r="AO84" t="s">
        <v>390</v>
      </c>
      <c r="AP84" s="42">
        <v>2.2200000000000002</v>
      </c>
      <c r="AQ84" s="50">
        <v>6524500</v>
      </c>
      <c r="AR84" s="51">
        <f t="shared" si="10"/>
        <v>14484390.000000002</v>
      </c>
      <c r="AS84" s="45"/>
      <c r="AT84" s="45"/>
      <c r="AU84" s="45"/>
      <c r="AW84" s="2" t="s">
        <v>71</v>
      </c>
      <c r="AX84" s="19">
        <v>45750000</v>
      </c>
      <c r="AY84" s="19">
        <f>VLOOKUP(Table5[[#This Row],[สินทรัพย์]],Table1[],19,FALSE)</f>
        <v>0</v>
      </c>
      <c r="AZ84" s="17">
        <f>VLOOKUP(AW84,Table1[[สินทรัพย์อ้างอิง]:[TOTAL PAPER]],18,FALSE)</f>
        <v>2</v>
      </c>
    </row>
    <row r="85" spans="1:52">
      <c r="A85" t="s">
        <v>93</v>
      </c>
      <c r="B85">
        <v>50.33</v>
      </c>
      <c r="C85" s="1" t="s">
        <v>32</v>
      </c>
      <c r="F85" s="2" t="s">
        <v>95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f t="shared" si="7"/>
        <v>0</v>
      </c>
      <c r="V85">
        <f t="shared" si="8"/>
        <v>2</v>
      </c>
      <c r="W85">
        <f>SUM(Table1[[#This Row],[FUNDAMENTAL]:[TECHNICAL]])</f>
        <v>2</v>
      </c>
      <c r="X85">
        <v>0</v>
      </c>
      <c r="Y85" s="52">
        <f t="shared" si="9"/>
        <v>185.94</v>
      </c>
      <c r="Z85" s="19">
        <v>18260000</v>
      </c>
      <c r="AO85" t="s">
        <v>391</v>
      </c>
      <c r="AP85" s="42">
        <v>4.62</v>
      </c>
      <c r="AQ85" s="50">
        <v>21824000</v>
      </c>
      <c r="AR85" s="51">
        <f t="shared" si="10"/>
        <v>100826880</v>
      </c>
      <c r="AS85" s="45"/>
      <c r="AT85" s="45"/>
      <c r="AU85" s="45"/>
      <c r="AW85" s="2" t="s">
        <v>57</v>
      </c>
      <c r="AX85" s="19">
        <v>44120000</v>
      </c>
      <c r="AY85" s="19">
        <f>VLOOKUP(Table5[[#This Row],[สินทรัพย์]],Table1[],19,FALSE)</f>
        <v>1</v>
      </c>
      <c r="AZ85" s="17">
        <f>VLOOKUP(AW85,Table1[[สินทรัพย์อ้างอิง]:[TOTAL PAPER]],18,FALSE)</f>
        <v>3</v>
      </c>
    </row>
    <row r="86" spans="1:52">
      <c r="A86" t="s">
        <v>95</v>
      </c>
      <c r="B86">
        <v>185.94</v>
      </c>
      <c r="C86" s="1"/>
      <c r="F86" s="2" t="s">
        <v>96</v>
      </c>
      <c r="G86">
        <v>0</v>
      </c>
      <c r="H86">
        <v>1</v>
      </c>
      <c r="I86">
        <v>0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f t="shared" si="7"/>
        <v>3</v>
      </c>
      <c r="V86">
        <f t="shared" si="8"/>
        <v>2</v>
      </c>
      <c r="W86">
        <f>SUM(Table1[[#This Row],[FUNDAMENTAL]:[TECHNICAL]])</f>
        <v>5</v>
      </c>
      <c r="X86">
        <v>1</v>
      </c>
      <c r="Y86" s="52">
        <f t="shared" si="9"/>
        <v>1779.14</v>
      </c>
      <c r="Z86" s="19">
        <v>440432640</v>
      </c>
      <c r="AO86" t="s">
        <v>392</v>
      </c>
      <c r="AP86" s="42">
        <v>3.08</v>
      </c>
      <c r="AQ86" s="50">
        <v>2950000</v>
      </c>
      <c r="AR86" s="51">
        <f t="shared" si="10"/>
        <v>9086000</v>
      </c>
      <c r="AS86" s="45"/>
      <c r="AT86" s="45"/>
      <c r="AU86" s="45"/>
      <c r="AW86" s="2" t="s">
        <v>99</v>
      </c>
      <c r="AX86" s="19">
        <v>42470000</v>
      </c>
      <c r="AY86" s="19">
        <f>VLOOKUP(Table5[[#This Row],[สินทรัพย์]],Table1[],19,FALSE)</f>
        <v>0</v>
      </c>
      <c r="AZ86" s="17">
        <f>VLOOKUP(AW86,Table1[[สินทรัพย์อ้างอิง]:[TOTAL PAPER]],18,FALSE)</f>
        <v>1</v>
      </c>
    </row>
    <row r="87" spans="1:52">
      <c r="A87" t="s">
        <v>96</v>
      </c>
      <c r="B87">
        <v>1779.14</v>
      </c>
      <c r="C87" s="1"/>
      <c r="F87" s="2" t="s">
        <v>97</v>
      </c>
      <c r="G87">
        <v>1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f t="shared" si="7"/>
        <v>3</v>
      </c>
      <c r="V87">
        <f t="shared" si="8"/>
        <v>2</v>
      </c>
      <c r="W87">
        <f>SUM(Table1[[#This Row],[FUNDAMENTAL]:[TECHNICAL]])</f>
        <v>5</v>
      </c>
      <c r="X87">
        <v>1</v>
      </c>
      <c r="Y87" s="52">
        <f t="shared" si="9"/>
        <v>1421.57</v>
      </c>
      <c r="Z87" s="19">
        <v>36727600</v>
      </c>
      <c r="AO87" t="s">
        <v>236</v>
      </c>
      <c r="AP87" s="42">
        <v>3.66</v>
      </c>
      <c r="AQ87" s="50">
        <v>12500000</v>
      </c>
      <c r="AR87" s="51">
        <f t="shared" si="10"/>
        <v>45750000</v>
      </c>
      <c r="AS87" s="45"/>
      <c r="AT87" s="45"/>
      <c r="AU87" s="45"/>
      <c r="AW87" s="2" t="s">
        <v>137</v>
      </c>
      <c r="AX87" s="19">
        <v>39564000</v>
      </c>
      <c r="AY87" s="19">
        <f>VLOOKUP(Table5[[#This Row],[สินทรัพย์]],Table1[],19,FALSE)</f>
        <v>0</v>
      </c>
      <c r="AZ87" s="17">
        <f>VLOOKUP(AW87,Table1[[สินทรัพย์อ้างอิง]:[TOTAL PAPER]],18,FALSE)</f>
        <v>1</v>
      </c>
    </row>
    <row r="88" spans="1:52">
      <c r="A88" t="s">
        <v>97</v>
      </c>
      <c r="B88">
        <v>1421.57</v>
      </c>
      <c r="C88" s="1"/>
      <c r="F88" s="2" t="s">
        <v>98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f t="shared" si="7"/>
        <v>2</v>
      </c>
      <c r="V88">
        <f t="shared" si="8"/>
        <v>3</v>
      </c>
      <c r="W88">
        <f>SUM(Table1[[#This Row],[FUNDAMENTAL]:[TECHNICAL]])</f>
        <v>5</v>
      </c>
      <c r="X88">
        <v>2</v>
      </c>
      <c r="Y88" s="52">
        <f t="shared" si="9"/>
        <v>6339.13</v>
      </c>
      <c r="Z88" s="19">
        <v>336804599.99999988</v>
      </c>
      <c r="AO88" t="s">
        <v>393</v>
      </c>
      <c r="AP88" s="42">
        <v>2.4</v>
      </c>
      <c r="AQ88" s="50">
        <v>5798400</v>
      </c>
      <c r="AR88" s="51">
        <f t="shared" si="10"/>
        <v>13916160</v>
      </c>
      <c r="AS88" s="45"/>
      <c r="AT88" s="45"/>
      <c r="AU88" s="45"/>
      <c r="AW88" s="2" t="s">
        <v>181</v>
      </c>
      <c r="AX88" s="19">
        <v>39051600</v>
      </c>
      <c r="AY88" s="19">
        <f>VLOOKUP(Table5[[#This Row],[สินทรัพย์]],Table1[],19,FALSE)</f>
        <v>0</v>
      </c>
      <c r="AZ88" s="17">
        <f>VLOOKUP(AW88,Table1[[สินทรัพย์อ้างอิง]:[TOTAL PAPER]],18,FALSE)</f>
        <v>3</v>
      </c>
    </row>
    <row r="89" spans="1:52">
      <c r="A89" t="s">
        <v>98</v>
      </c>
      <c r="B89">
        <v>6339.13</v>
      </c>
      <c r="C89" s="1"/>
      <c r="F89" s="2" t="s">
        <v>99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f t="shared" si="7"/>
        <v>0</v>
      </c>
      <c r="V89">
        <f t="shared" si="8"/>
        <v>1</v>
      </c>
      <c r="W89">
        <f>SUM(Table1[[#This Row],[FUNDAMENTAL]:[TECHNICAL]])</f>
        <v>1</v>
      </c>
      <c r="X89">
        <v>0</v>
      </c>
      <c r="Y89" s="52">
        <f t="shared" si="9"/>
        <v>3054.4</v>
      </c>
      <c r="Z89" s="19">
        <v>42470000</v>
      </c>
      <c r="AO89" t="s">
        <v>394</v>
      </c>
      <c r="AP89" s="42">
        <v>3.3</v>
      </c>
      <c r="AQ89" s="50">
        <v>3281000</v>
      </c>
      <c r="AR89" s="51">
        <f t="shared" si="10"/>
        <v>10827300</v>
      </c>
      <c r="AS89" s="45"/>
      <c r="AT89" s="45"/>
      <c r="AU89" s="45"/>
      <c r="AW89" s="2" t="s">
        <v>141</v>
      </c>
      <c r="AX89" s="19">
        <v>38640000</v>
      </c>
      <c r="AY89" s="19">
        <f>VLOOKUP(Table5[[#This Row],[สินทรัพย์]],Table1[],19,FALSE)</f>
        <v>1</v>
      </c>
      <c r="AZ89" s="17">
        <f>VLOOKUP(AW89,Table1[[สินทรัพย์อ้างอิง]:[TOTAL PAPER]],18,FALSE)</f>
        <v>3</v>
      </c>
    </row>
    <row r="90" spans="1:52">
      <c r="A90" t="s">
        <v>99</v>
      </c>
      <c r="B90">
        <v>3054.4</v>
      </c>
      <c r="C90" s="1"/>
      <c r="F90" s="2" t="s">
        <v>100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f t="shared" si="7"/>
        <v>4</v>
      </c>
      <c r="V90">
        <f t="shared" si="8"/>
        <v>2</v>
      </c>
      <c r="W90">
        <f>SUM(Table1[[#This Row],[FUNDAMENTAL]:[TECHNICAL]])</f>
        <v>6</v>
      </c>
      <c r="X90">
        <v>2</v>
      </c>
      <c r="Y90" s="52">
        <f t="shared" si="9"/>
        <v>5352.55</v>
      </c>
      <c r="Z90" s="19">
        <v>788783450</v>
      </c>
      <c r="AO90" t="s">
        <v>395</v>
      </c>
      <c r="AP90" s="42">
        <v>6.2</v>
      </c>
      <c r="AQ90" s="50">
        <v>10922000</v>
      </c>
      <c r="AR90" s="51">
        <f t="shared" si="10"/>
        <v>67716400</v>
      </c>
      <c r="AS90" s="45"/>
      <c r="AT90" s="45"/>
      <c r="AU90" s="45"/>
      <c r="AW90" s="2" t="s">
        <v>119</v>
      </c>
      <c r="AX90" s="19">
        <v>38511200</v>
      </c>
      <c r="AY90" s="19">
        <f>VLOOKUP(Table5[[#This Row],[สินทรัพย์]],Table1[],19,FALSE)</f>
        <v>0</v>
      </c>
      <c r="AZ90" s="17">
        <f>VLOOKUP(AW90,Table1[[สินทรัพย์อ้างอิง]:[TOTAL PAPER]],18,FALSE)</f>
        <v>1</v>
      </c>
    </row>
    <row r="91" spans="1:52">
      <c r="A91" t="s">
        <v>100</v>
      </c>
      <c r="B91">
        <v>5352.55</v>
      </c>
      <c r="C91" s="1"/>
      <c r="F91" s="2" t="s">
        <v>101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f t="shared" si="7"/>
        <v>1</v>
      </c>
      <c r="V91">
        <f t="shared" si="8"/>
        <v>1</v>
      </c>
      <c r="W91">
        <f>SUM(Table1[[#This Row],[FUNDAMENTAL]:[TECHNICAL]])</f>
        <v>2</v>
      </c>
      <c r="X91">
        <v>0</v>
      </c>
      <c r="Y91" s="52">
        <f t="shared" si="9"/>
        <v>612.91</v>
      </c>
      <c r="Z91" s="19">
        <v>32300000</v>
      </c>
      <c r="AO91" t="s">
        <v>396</v>
      </c>
      <c r="AP91" s="42">
        <v>5.2</v>
      </c>
      <c r="AQ91" s="50">
        <v>50190000</v>
      </c>
      <c r="AR91" s="51">
        <f t="shared" si="10"/>
        <v>260988000</v>
      </c>
      <c r="AS91" s="45"/>
      <c r="AT91" s="45"/>
      <c r="AU91" s="45"/>
      <c r="AW91" s="2" t="s">
        <v>171</v>
      </c>
      <c r="AX91" s="19">
        <v>37928000</v>
      </c>
      <c r="AY91" s="19">
        <f>VLOOKUP(Table5[[#This Row],[สินทรัพย์]],Table1[],19,FALSE)</f>
        <v>1</v>
      </c>
      <c r="AZ91" s="17">
        <f>VLOOKUP(AW91,Table1[[สินทรัพย์อ้างอิง]:[TOTAL PAPER]],18,FALSE)</f>
        <v>4</v>
      </c>
    </row>
    <row r="92" spans="1:52">
      <c r="A92" t="s">
        <v>101</v>
      </c>
      <c r="B92">
        <v>612.91</v>
      </c>
      <c r="C92" s="1"/>
      <c r="F92" s="2" t="s">
        <v>102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f t="shared" si="7"/>
        <v>2</v>
      </c>
      <c r="V92">
        <f t="shared" si="8"/>
        <v>1</v>
      </c>
      <c r="W92">
        <f>SUM(Table1[[#This Row],[FUNDAMENTAL]:[TECHNICAL]])</f>
        <v>3</v>
      </c>
      <c r="X92">
        <v>0</v>
      </c>
      <c r="Y92" s="52">
        <f t="shared" si="9"/>
        <v>0.32</v>
      </c>
      <c r="Z92" s="19">
        <v>20717200</v>
      </c>
      <c r="AO92" t="s">
        <v>397</v>
      </c>
      <c r="AP92" s="42">
        <v>2.46</v>
      </c>
      <c r="AQ92" s="50">
        <v>2500000</v>
      </c>
      <c r="AR92" s="51">
        <f t="shared" si="10"/>
        <v>6150000</v>
      </c>
      <c r="AS92" s="45"/>
      <c r="AT92" s="45"/>
      <c r="AU92" s="45"/>
      <c r="AW92" s="2" t="s">
        <v>123</v>
      </c>
      <c r="AX92" s="19">
        <v>37135950</v>
      </c>
      <c r="AY92" s="19">
        <f>VLOOKUP(Table5[[#This Row],[สินทรัพย์]],Table1[],19,FALSE)</f>
        <v>1</v>
      </c>
      <c r="AZ92" s="17">
        <f>VLOOKUP(AW92,Table1[[สินทรัพย์อ้างอิง]:[TOTAL PAPER]],18,FALSE)</f>
        <v>3</v>
      </c>
    </row>
    <row r="93" spans="1:52">
      <c r="A93" t="s">
        <v>102</v>
      </c>
      <c r="B93">
        <v>0.32</v>
      </c>
      <c r="C93" s="1" t="s">
        <v>32</v>
      </c>
      <c r="F93" s="2" t="s">
        <v>103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f t="shared" si="7"/>
        <v>0</v>
      </c>
      <c r="V93">
        <f t="shared" si="8"/>
        <v>0</v>
      </c>
      <c r="W93">
        <f>SUM(Table1[[#This Row],[FUNDAMENTAL]:[TECHNICAL]])</f>
        <v>0</v>
      </c>
      <c r="X93">
        <v>0</v>
      </c>
      <c r="Y93" s="52">
        <f t="shared" si="9"/>
        <v>118.29</v>
      </c>
      <c r="Z93" s="19">
        <v>8400000</v>
      </c>
      <c r="AO93" t="s">
        <v>398</v>
      </c>
      <c r="AP93" s="42">
        <v>2.46</v>
      </c>
      <c r="AQ93" s="50">
        <v>12254000</v>
      </c>
      <c r="AR93" s="51">
        <f t="shared" si="10"/>
        <v>30144840</v>
      </c>
      <c r="AS93" s="45"/>
      <c r="AT93" s="45"/>
      <c r="AU93" s="45"/>
      <c r="AW93" s="2" t="s">
        <v>97</v>
      </c>
      <c r="AX93" s="19">
        <v>36727600</v>
      </c>
      <c r="AY93" s="19">
        <f>VLOOKUP(Table5[[#This Row],[สินทรัพย์]],Table1[],19,FALSE)</f>
        <v>1</v>
      </c>
      <c r="AZ93" s="17">
        <f>VLOOKUP(AW93,Table1[[สินทรัพย์อ้างอิง]:[TOTAL PAPER]],18,FALSE)</f>
        <v>5</v>
      </c>
    </row>
    <row r="94" spans="1:52">
      <c r="A94" t="s">
        <v>103</v>
      </c>
      <c r="B94">
        <v>118.29</v>
      </c>
      <c r="C94" s="1"/>
      <c r="F94" s="2" t="s">
        <v>104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f t="shared" si="7"/>
        <v>2</v>
      </c>
      <c r="V94">
        <f t="shared" si="8"/>
        <v>0</v>
      </c>
      <c r="W94">
        <f>SUM(Table1[[#This Row],[FUNDAMENTAL]:[TECHNICAL]])</f>
        <v>2</v>
      </c>
      <c r="X94">
        <v>0</v>
      </c>
      <c r="Y94" s="52">
        <f t="shared" si="9"/>
        <v>108.96</v>
      </c>
      <c r="Z94" s="19">
        <v>17460000</v>
      </c>
      <c r="AO94" t="s">
        <v>399</v>
      </c>
      <c r="AP94" s="42">
        <v>14.4</v>
      </c>
      <c r="AQ94" s="50">
        <v>13902800</v>
      </c>
      <c r="AR94" s="51">
        <f t="shared" si="10"/>
        <v>200200320</v>
      </c>
      <c r="AS94" s="45"/>
      <c r="AT94" s="45"/>
      <c r="AU94" s="45"/>
      <c r="AW94" s="2" t="s">
        <v>76</v>
      </c>
      <c r="AX94" s="19">
        <v>36294840</v>
      </c>
      <c r="AY94" s="19">
        <f>VLOOKUP(Table5[[#This Row],[สินทรัพย์]],Table1[],19,FALSE)</f>
        <v>1</v>
      </c>
      <c r="AZ94" s="17">
        <f>VLOOKUP(AW94,Table1[[สินทรัพย์อ้างอิง]:[TOTAL PAPER]],18,FALSE)</f>
        <v>3</v>
      </c>
    </row>
    <row r="95" spans="1:52">
      <c r="A95" t="s">
        <v>104</v>
      </c>
      <c r="B95">
        <v>108.96</v>
      </c>
      <c r="C95" s="1"/>
      <c r="F95" s="2" t="s">
        <v>105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f t="shared" si="7"/>
        <v>4</v>
      </c>
      <c r="V95">
        <f t="shared" si="8"/>
        <v>1</v>
      </c>
      <c r="W95">
        <f>SUM(Table1[[#This Row],[FUNDAMENTAL]:[TECHNICAL]])</f>
        <v>5</v>
      </c>
      <c r="X95">
        <v>2</v>
      </c>
      <c r="Y95" s="52">
        <f t="shared" si="9"/>
        <v>13556.57</v>
      </c>
      <c r="Z95" s="19">
        <v>797628984</v>
      </c>
      <c r="AO95" t="s">
        <v>400</v>
      </c>
      <c r="AP95" s="42">
        <v>4.4800000000000004</v>
      </c>
      <c r="AQ95" s="50">
        <v>21266500</v>
      </c>
      <c r="AR95" s="51">
        <f t="shared" si="10"/>
        <v>95273920.000000015</v>
      </c>
      <c r="AS95" s="45"/>
      <c r="AT95" s="45"/>
      <c r="AU95" s="45"/>
      <c r="AW95" s="2" t="s">
        <v>18</v>
      </c>
      <c r="AX95" s="19">
        <v>35597600</v>
      </c>
      <c r="AY95" s="19">
        <f>VLOOKUP(Table5[[#This Row],[สินทรัพย์]],Table1[],19,FALSE)</f>
        <v>2</v>
      </c>
      <c r="AZ95" s="17">
        <f>VLOOKUP(AW95,Table1[[สินทรัพย์อ้างอิง]:[TOTAL PAPER]],18,FALSE)</f>
        <v>4</v>
      </c>
    </row>
    <row r="96" spans="1:52">
      <c r="A96" t="s">
        <v>105</v>
      </c>
      <c r="B96">
        <v>13556.57</v>
      </c>
      <c r="C96" s="1"/>
      <c r="F96" s="2" t="s">
        <v>106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f t="shared" si="7"/>
        <v>0</v>
      </c>
      <c r="V96">
        <f t="shared" si="8"/>
        <v>1</v>
      </c>
      <c r="W96">
        <f>SUM(Table1[[#This Row],[FUNDAMENTAL]:[TECHNICAL]])</f>
        <v>1</v>
      </c>
      <c r="X96">
        <v>0</v>
      </c>
      <c r="Y96" s="52">
        <f t="shared" si="9"/>
        <v>245.82</v>
      </c>
      <c r="Z96" s="19">
        <v>10962000</v>
      </c>
      <c r="AO96" t="s">
        <v>401</v>
      </c>
      <c r="AP96" s="42">
        <v>6.7</v>
      </c>
      <c r="AQ96" s="50">
        <v>2796000</v>
      </c>
      <c r="AR96" s="51">
        <f t="shared" si="10"/>
        <v>18733200</v>
      </c>
      <c r="AW96" s="2" t="s">
        <v>109</v>
      </c>
      <c r="AX96" s="19">
        <v>34980000</v>
      </c>
      <c r="AY96" s="19">
        <f>VLOOKUP(Table5[[#This Row],[สินทรัพย์]],Table1[],19,FALSE)</f>
        <v>0</v>
      </c>
      <c r="AZ96" s="17">
        <f>VLOOKUP(AW96,Table1[[สินทรัพย์อ้างอิง]:[TOTAL PAPER]],18,FALSE)</f>
        <v>2</v>
      </c>
    </row>
    <row r="97" spans="1:52">
      <c r="A97" t="s">
        <v>106</v>
      </c>
      <c r="B97">
        <v>245.82</v>
      </c>
      <c r="C97" s="1"/>
      <c r="F97" s="2" t="s">
        <v>107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f t="shared" si="7"/>
        <v>1</v>
      </c>
      <c r="V97">
        <f t="shared" si="8"/>
        <v>2</v>
      </c>
      <c r="W97">
        <f>SUM(Table1[[#This Row],[FUNDAMENTAL]:[TECHNICAL]])</f>
        <v>3</v>
      </c>
      <c r="X97">
        <v>1</v>
      </c>
      <c r="Y97" s="52">
        <f t="shared" si="9"/>
        <v>851.39</v>
      </c>
      <c r="Z97" s="19">
        <v>49245000</v>
      </c>
      <c r="AO97" t="s">
        <v>402</v>
      </c>
      <c r="AP97" s="42">
        <v>3.22</v>
      </c>
      <c r="AQ97" s="50">
        <v>890000</v>
      </c>
      <c r="AR97" s="51">
        <f t="shared" si="10"/>
        <v>2865800</v>
      </c>
      <c r="AW97" s="2" t="s">
        <v>37</v>
      </c>
      <c r="AX97" s="19">
        <v>34719420</v>
      </c>
      <c r="AY97" s="19">
        <f>VLOOKUP(Table5[[#This Row],[สินทรัพย์]],Table1[],19,FALSE)</f>
        <v>0</v>
      </c>
      <c r="AZ97" s="17">
        <f>VLOOKUP(AW97,Table1[[สินทรัพย์อ้างอิง]:[TOTAL PAPER]],18,FALSE)</f>
        <v>0</v>
      </c>
    </row>
    <row r="98" spans="1:52">
      <c r="A98" t="s">
        <v>107</v>
      </c>
      <c r="B98">
        <v>851.39</v>
      </c>
      <c r="C98" s="1"/>
      <c r="F98" s="2" t="s">
        <v>108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f t="shared" si="7"/>
        <v>0</v>
      </c>
      <c r="V98">
        <f t="shared" si="8"/>
        <v>2</v>
      </c>
      <c r="W98">
        <f>SUM(Table1[[#This Row],[FUNDAMENTAL]:[TECHNICAL]])</f>
        <v>2</v>
      </c>
      <c r="X98">
        <v>0</v>
      </c>
      <c r="Y98" s="52">
        <f t="shared" si="9"/>
        <v>2393.46</v>
      </c>
      <c r="Z98" s="19">
        <v>336925400</v>
      </c>
      <c r="AO98" t="s">
        <v>403</v>
      </c>
      <c r="AP98" s="42">
        <v>25.25</v>
      </c>
      <c r="AQ98" s="50">
        <v>4070695</v>
      </c>
      <c r="AR98" s="51">
        <f t="shared" si="10"/>
        <v>102785048.75</v>
      </c>
      <c r="AW98" s="2" t="s">
        <v>89</v>
      </c>
      <c r="AX98" s="19">
        <v>34479680</v>
      </c>
      <c r="AY98" s="19">
        <f>VLOOKUP(Table5[[#This Row],[สินทรัพย์]],Table1[],19,FALSE)</f>
        <v>1</v>
      </c>
      <c r="AZ98" s="17">
        <f>VLOOKUP(AW98,Table1[[สินทรัพย์อ้างอิง]:[TOTAL PAPER]],18,FALSE)</f>
        <v>3</v>
      </c>
    </row>
    <row r="99" spans="1:52">
      <c r="A99" t="s">
        <v>108</v>
      </c>
      <c r="B99">
        <v>2393.46</v>
      </c>
      <c r="C99" s="1"/>
      <c r="F99" s="2" t="s">
        <v>109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f t="shared" si="7"/>
        <v>1</v>
      </c>
      <c r="V99">
        <f t="shared" si="8"/>
        <v>1</v>
      </c>
      <c r="W99">
        <f>SUM(Table1[[#This Row],[FUNDAMENTAL]:[TECHNICAL]])</f>
        <v>2</v>
      </c>
      <c r="X99">
        <v>0</v>
      </c>
      <c r="Y99" s="52">
        <f t="shared" si="9"/>
        <v>151.08000000000001</v>
      </c>
      <c r="Z99" s="19">
        <v>34980000</v>
      </c>
      <c r="AO99" t="s">
        <v>404</v>
      </c>
      <c r="AP99" s="42">
        <v>4.4400000000000004</v>
      </c>
      <c r="AQ99" s="50">
        <v>4310000</v>
      </c>
      <c r="AR99" s="51">
        <f t="shared" si="10"/>
        <v>19136400</v>
      </c>
      <c r="AW99" s="2" t="s">
        <v>63</v>
      </c>
      <c r="AX99" s="19">
        <v>34080000</v>
      </c>
      <c r="AY99" s="19">
        <f>VLOOKUP(Table5[[#This Row],[สินทรัพย์]],Table1[],19,FALSE)</f>
        <v>0</v>
      </c>
      <c r="AZ99" s="17">
        <f>VLOOKUP(AW99,Table1[[สินทรัพย์อ้างอิง]:[TOTAL PAPER]],18,FALSE)</f>
        <v>0</v>
      </c>
    </row>
    <row r="100" spans="1:52">
      <c r="A100" t="s">
        <v>109</v>
      </c>
      <c r="B100">
        <v>151.08000000000001</v>
      </c>
      <c r="C100" s="1"/>
      <c r="F100" s="2" t="s">
        <v>110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f t="shared" ref="U100:U131" si="11">SUM(G100:H100,K100:Q100,S100)</f>
        <v>2</v>
      </c>
      <c r="V100">
        <f t="shared" ref="V100:V131" si="12">SUM(J100,R100,T100)</f>
        <v>0</v>
      </c>
      <c r="W100">
        <f>SUM(Table1[[#This Row],[FUNDAMENTAL]:[TECHNICAL]])</f>
        <v>2</v>
      </c>
      <c r="X100">
        <v>1</v>
      </c>
      <c r="Y100" s="52">
        <f t="shared" ref="Y100:Y131" si="13">VLOOKUP(F100,$A$3:$B$174,2,FALSE)</f>
        <v>2102.9899999999998</v>
      </c>
      <c r="Z100" s="19">
        <v>599004000</v>
      </c>
      <c r="AO100" t="s">
        <v>405</v>
      </c>
      <c r="AP100" s="42">
        <v>4.5</v>
      </c>
      <c r="AQ100" s="50">
        <v>101055000</v>
      </c>
      <c r="AR100" s="51">
        <f t="shared" si="10"/>
        <v>454747500</v>
      </c>
      <c r="AW100" s="2" t="s">
        <v>46</v>
      </c>
      <c r="AX100" s="19">
        <v>33460000</v>
      </c>
      <c r="AY100" s="19">
        <f>VLOOKUP(Table5[[#This Row],[สินทรัพย์]],Table1[],19,FALSE)</f>
        <v>1</v>
      </c>
      <c r="AZ100" s="17">
        <f>VLOOKUP(AW100,Table1[[สินทรัพย์อ้างอิง]:[TOTAL PAPER]],18,FALSE)</f>
        <v>2</v>
      </c>
    </row>
    <row r="101" spans="1:52">
      <c r="A101" t="s">
        <v>112</v>
      </c>
      <c r="B101">
        <v>6031.39</v>
      </c>
      <c r="C101" s="1"/>
      <c r="F101" s="2" t="s">
        <v>111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f t="shared" si="11"/>
        <v>1</v>
      </c>
      <c r="V101">
        <f t="shared" si="12"/>
        <v>3</v>
      </c>
      <c r="W101">
        <f>SUM(Table1[[#This Row],[FUNDAMENTAL]:[TECHNICAL]])</f>
        <v>4</v>
      </c>
      <c r="X101">
        <v>1</v>
      </c>
      <c r="Y101" s="52">
        <f t="shared" si="13"/>
        <v>1062.7</v>
      </c>
      <c r="Z101" s="19">
        <v>63543000</v>
      </c>
      <c r="AO101" t="s">
        <v>406</v>
      </c>
      <c r="AP101" s="42">
        <v>5</v>
      </c>
      <c r="AQ101" s="50">
        <v>21722500</v>
      </c>
      <c r="AR101" s="51">
        <f t="shared" si="10"/>
        <v>108612500</v>
      </c>
      <c r="AW101" s="2" t="s">
        <v>29</v>
      </c>
      <c r="AX101" s="19">
        <v>33164000</v>
      </c>
      <c r="AY101" s="19">
        <f>VLOOKUP(Table5[[#This Row],[สินทรัพย์]],Table1[],19,FALSE)</f>
        <v>1</v>
      </c>
      <c r="AZ101" s="17">
        <f>VLOOKUP(AW101,Table1[[สินทรัพย์อ้างอิง]:[TOTAL PAPER]],18,FALSE)</f>
        <v>1</v>
      </c>
    </row>
    <row r="102" spans="1:52">
      <c r="A102" t="s">
        <v>113</v>
      </c>
      <c r="B102">
        <v>1011.71</v>
      </c>
      <c r="C102" s="1" t="s">
        <v>192</v>
      </c>
      <c r="F102" s="2" t="s">
        <v>112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f t="shared" si="11"/>
        <v>4</v>
      </c>
      <c r="V102">
        <f t="shared" si="12"/>
        <v>0</v>
      </c>
      <c r="W102">
        <f>SUM(Table1[[#This Row],[FUNDAMENTAL]:[TECHNICAL]])</f>
        <v>4</v>
      </c>
      <c r="X102">
        <v>1</v>
      </c>
      <c r="Y102" s="52">
        <f t="shared" si="13"/>
        <v>6031.39</v>
      </c>
      <c r="Z102" s="19">
        <v>342861900</v>
      </c>
      <c r="AO102" t="s">
        <v>279</v>
      </c>
      <c r="AP102" s="42">
        <v>3.28</v>
      </c>
      <c r="AQ102" s="50">
        <v>3130000</v>
      </c>
      <c r="AR102" s="51">
        <f t="shared" si="10"/>
        <v>10266400</v>
      </c>
      <c r="AW102" s="2" t="s">
        <v>158</v>
      </c>
      <c r="AX102" s="19">
        <v>33058100</v>
      </c>
      <c r="AY102" s="19">
        <f>VLOOKUP(Table5[[#This Row],[สินทรัพย์]],Table1[],19,FALSE)</f>
        <v>0</v>
      </c>
      <c r="AZ102" s="17">
        <f>VLOOKUP(AW102,Table1[[สินทรัพย์อ้างอิง]:[TOTAL PAPER]],18,FALSE)</f>
        <v>1</v>
      </c>
    </row>
    <row r="103" spans="1:52">
      <c r="A103" t="s">
        <v>114</v>
      </c>
      <c r="B103">
        <v>165.27</v>
      </c>
      <c r="C103" s="1"/>
      <c r="F103" s="2" t="s">
        <v>113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f t="shared" si="11"/>
        <v>1</v>
      </c>
      <c r="V103">
        <f t="shared" si="12"/>
        <v>1</v>
      </c>
      <c r="W103">
        <f>SUM(Table1[[#This Row],[FUNDAMENTAL]:[TECHNICAL]])</f>
        <v>2</v>
      </c>
      <c r="X103">
        <v>1</v>
      </c>
      <c r="Y103" s="52">
        <f t="shared" si="13"/>
        <v>1011.71</v>
      </c>
      <c r="Z103" s="19">
        <v>27468000</v>
      </c>
      <c r="AO103" t="s">
        <v>277</v>
      </c>
      <c r="AP103" s="41">
        <v>3.42</v>
      </c>
      <c r="AQ103" s="50">
        <v>12500000</v>
      </c>
      <c r="AR103" s="51">
        <f t="shared" si="10"/>
        <v>42750000</v>
      </c>
      <c r="AW103" s="2" t="s">
        <v>174</v>
      </c>
      <c r="AX103" s="19">
        <v>33033000</v>
      </c>
      <c r="AY103" s="19">
        <f>VLOOKUP(Table5[[#This Row],[สินทรัพย์]],Table1[],19,FALSE)</f>
        <v>0</v>
      </c>
      <c r="AZ103" s="17">
        <f>VLOOKUP(AW103,Table1[[สินทรัพย์อ้างอิง]:[TOTAL PAPER]],18,FALSE)</f>
        <v>1</v>
      </c>
    </row>
    <row r="104" spans="1:52">
      <c r="A104" t="s">
        <v>115</v>
      </c>
      <c r="B104">
        <v>2804.2</v>
      </c>
      <c r="C104" s="1"/>
      <c r="F104" s="2" t="s">
        <v>114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f t="shared" si="11"/>
        <v>2</v>
      </c>
      <c r="V104">
        <f t="shared" si="12"/>
        <v>0</v>
      </c>
      <c r="W104">
        <f>SUM(Table1[[#This Row],[FUNDAMENTAL]:[TECHNICAL]])</f>
        <v>2</v>
      </c>
      <c r="X104">
        <v>0</v>
      </c>
      <c r="Y104" s="52">
        <f t="shared" si="13"/>
        <v>165.27</v>
      </c>
      <c r="Z104" s="19">
        <v>15825300</v>
      </c>
      <c r="AO104" t="s">
        <v>295</v>
      </c>
      <c r="AP104" s="41">
        <v>20.6</v>
      </c>
      <c r="AQ104" s="50">
        <v>457500</v>
      </c>
      <c r="AR104" s="51">
        <f t="shared" si="10"/>
        <v>9424500</v>
      </c>
      <c r="AW104" s="2" t="s">
        <v>101</v>
      </c>
      <c r="AX104" s="19">
        <v>32300000</v>
      </c>
      <c r="AY104" s="19">
        <f>VLOOKUP(Table5[[#This Row],[สินทรัพย์]],Table1[],19,FALSE)</f>
        <v>0</v>
      </c>
      <c r="AZ104" s="17">
        <f>VLOOKUP(AW104,Table1[[สินทรัพย์อ้างอิง]:[TOTAL PAPER]],18,FALSE)</f>
        <v>2</v>
      </c>
    </row>
    <row r="105" spans="1:52">
      <c r="A105" t="s">
        <v>116</v>
      </c>
      <c r="B105">
        <v>324.64</v>
      </c>
      <c r="C105" s="1"/>
      <c r="F105" s="2" t="s">
        <v>115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f t="shared" si="11"/>
        <v>1</v>
      </c>
      <c r="V105">
        <f t="shared" si="12"/>
        <v>2</v>
      </c>
      <c r="W105">
        <f>SUM(Table1[[#This Row],[FUNDAMENTAL]:[TECHNICAL]])</f>
        <v>3</v>
      </c>
      <c r="X105">
        <v>1</v>
      </c>
      <c r="Y105" s="52">
        <f t="shared" si="13"/>
        <v>2804.2</v>
      </c>
      <c r="Z105" s="19">
        <v>53535110</v>
      </c>
      <c r="AO105" t="s">
        <v>407</v>
      </c>
      <c r="AP105" s="42">
        <v>2</v>
      </c>
      <c r="AQ105" s="50">
        <v>2255000</v>
      </c>
      <c r="AR105" s="51">
        <f t="shared" si="10"/>
        <v>4510000</v>
      </c>
      <c r="AW105" s="2" t="s">
        <v>180</v>
      </c>
      <c r="AX105" s="19">
        <v>31411200</v>
      </c>
      <c r="AY105" s="19">
        <f>VLOOKUP(Table5[[#This Row],[สินทรัพย์]],Table1[],19,FALSE)</f>
        <v>0</v>
      </c>
      <c r="AZ105" s="17">
        <f>VLOOKUP(AW105,Table1[[สินทรัพย์อ้างอิง]:[TOTAL PAPER]],18,FALSE)</f>
        <v>1</v>
      </c>
    </row>
    <row r="106" spans="1:52">
      <c r="A106" t="s">
        <v>117</v>
      </c>
      <c r="B106">
        <v>13091.23</v>
      </c>
      <c r="C106" s="1" t="s">
        <v>16</v>
      </c>
      <c r="F106" s="2" t="s">
        <v>116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f t="shared" si="11"/>
        <v>2</v>
      </c>
      <c r="V106">
        <f t="shared" si="12"/>
        <v>1</v>
      </c>
      <c r="W106">
        <f>SUM(Table1[[#This Row],[FUNDAMENTAL]:[TECHNICAL]])</f>
        <v>3</v>
      </c>
      <c r="X106">
        <v>1</v>
      </c>
      <c r="Y106" s="52">
        <f t="shared" si="13"/>
        <v>324.64</v>
      </c>
      <c r="Z106" s="19">
        <v>27686400</v>
      </c>
      <c r="AO106" t="s">
        <v>408</v>
      </c>
      <c r="AP106" s="42">
        <v>2.02</v>
      </c>
      <c r="AQ106" s="50">
        <v>2436000</v>
      </c>
      <c r="AR106" s="51">
        <f t="shared" si="10"/>
        <v>4920720</v>
      </c>
      <c r="AW106" s="2" t="s">
        <v>164</v>
      </c>
      <c r="AX106" s="19">
        <v>29925000</v>
      </c>
      <c r="AY106" s="19">
        <f>VLOOKUP(Table5[[#This Row],[สินทรัพย์]],Table1[],19,FALSE)</f>
        <v>1</v>
      </c>
      <c r="AZ106" s="17">
        <f>VLOOKUP(AW106,Table1[[สินทรัพย์อ้างอิง]:[TOTAL PAPER]],18,FALSE)</f>
        <v>4</v>
      </c>
    </row>
    <row r="107" spans="1:52">
      <c r="A107" t="s">
        <v>111</v>
      </c>
      <c r="B107">
        <v>1062.7</v>
      </c>
      <c r="C107" s="1"/>
      <c r="F107" s="2" t="s">
        <v>117</v>
      </c>
      <c r="G107">
        <v>1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f t="shared" si="11"/>
        <v>3</v>
      </c>
      <c r="V107">
        <f t="shared" si="12"/>
        <v>3</v>
      </c>
      <c r="W107">
        <f>SUM(Table1[[#This Row],[FUNDAMENTAL]:[TECHNICAL]])</f>
        <v>6</v>
      </c>
      <c r="X107">
        <v>1</v>
      </c>
      <c r="Y107" s="52">
        <f t="shared" si="13"/>
        <v>13091.23</v>
      </c>
      <c r="Z107" s="19">
        <v>434791000</v>
      </c>
      <c r="AO107" t="s">
        <v>227</v>
      </c>
      <c r="AP107" s="42">
        <v>2.14</v>
      </c>
      <c r="AQ107" s="50">
        <v>16112000</v>
      </c>
      <c r="AR107" s="51">
        <f t="shared" si="10"/>
        <v>34479680</v>
      </c>
      <c r="AW107" s="2" t="s">
        <v>154</v>
      </c>
      <c r="AX107" s="19">
        <v>28995600</v>
      </c>
      <c r="AY107" s="19">
        <f>VLOOKUP(Table5[[#This Row],[สินทรัพย์]],Table1[],19,FALSE)</f>
        <v>1</v>
      </c>
      <c r="AZ107" s="17">
        <f>VLOOKUP(AW107,Table1[[สินทรัพย์อ้างอิง]:[TOTAL PAPER]],18,FALSE)</f>
        <v>3</v>
      </c>
    </row>
    <row r="108" spans="1:52">
      <c r="A108" t="s">
        <v>118</v>
      </c>
      <c r="B108">
        <v>22984.11</v>
      </c>
      <c r="C108" s="1"/>
      <c r="F108" s="2" t="s">
        <v>118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f t="shared" si="11"/>
        <v>5</v>
      </c>
      <c r="V108">
        <f t="shared" si="12"/>
        <v>2</v>
      </c>
      <c r="W108">
        <f>SUM(Table1[[#This Row],[FUNDAMENTAL]:[TECHNICAL]])</f>
        <v>7</v>
      </c>
      <c r="X108">
        <v>3</v>
      </c>
      <c r="Y108" s="52">
        <f t="shared" si="13"/>
        <v>22984.11</v>
      </c>
      <c r="Z108" s="19">
        <v>2121073648</v>
      </c>
      <c r="AO108" t="s">
        <v>409</v>
      </c>
      <c r="AP108" s="42">
        <v>2.88</v>
      </c>
      <c r="AQ108" s="50">
        <v>3000000</v>
      </c>
      <c r="AR108" s="51">
        <f t="shared" si="10"/>
        <v>8640000</v>
      </c>
      <c r="AW108" s="2" t="s">
        <v>156</v>
      </c>
      <c r="AX108" s="19">
        <v>28222656</v>
      </c>
      <c r="AY108" s="19">
        <f>VLOOKUP(Table5[[#This Row],[สินทรัพย์]],Table1[],19,FALSE)</f>
        <v>1</v>
      </c>
      <c r="AZ108" s="17">
        <f>VLOOKUP(AW108,Table1[[สินทรัพย์อ้างอิง]:[TOTAL PAPER]],18,FALSE)</f>
        <v>3</v>
      </c>
    </row>
    <row r="109" spans="1:52">
      <c r="A109" t="s">
        <v>120</v>
      </c>
      <c r="B109">
        <v>1889.48</v>
      </c>
      <c r="C109" s="1"/>
      <c r="F109" s="2" t="s">
        <v>119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f t="shared" si="11"/>
        <v>0</v>
      </c>
      <c r="V109">
        <f t="shared" si="12"/>
        <v>1</v>
      </c>
      <c r="W109">
        <f>SUM(Table1[[#This Row],[FUNDAMENTAL]:[TECHNICAL]])</f>
        <v>1</v>
      </c>
      <c r="X109">
        <v>0</v>
      </c>
      <c r="Y109" s="52">
        <f t="shared" si="13"/>
        <v>6346.16</v>
      </c>
      <c r="Z109" s="19">
        <v>38511200</v>
      </c>
      <c r="AO109" t="s">
        <v>410</v>
      </c>
      <c r="AP109" s="42">
        <v>2.04</v>
      </c>
      <c r="AQ109" s="50">
        <v>447160000</v>
      </c>
      <c r="AR109" s="51">
        <f t="shared" si="10"/>
        <v>912206400</v>
      </c>
      <c r="AW109" s="2" t="s">
        <v>116</v>
      </c>
      <c r="AX109" s="19">
        <v>27686400</v>
      </c>
      <c r="AY109" s="19">
        <f>VLOOKUP(Table5[[#This Row],[สินทรัพย์]],Table1[],19,FALSE)</f>
        <v>1</v>
      </c>
      <c r="AZ109" s="17">
        <f>VLOOKUP(AW109,Table1[[สินทรัพย์อ้างอิง]:[TOTAL PAPER]],18,FALSE)</f>
        <v>3</v>
      </c>
    </row>
    <row r="110" spans="1:52">
      <c r="A110" t="s">
        <v>121</v>
      </c>
      <c r="B110">
        <v>1822.17</v>
      </c>
      <c r="C110" s="1"/>
      <c r="F110" s="2" t="s">
        <v>120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f t="shared" si="11"/>
        <v>0</v>
      </c>
      <c r="V110">
        <f t="shared" si="12"/>
        <v>0</v>
      </c>
      <c r="W110">
        <f>SUM(Table1[[#This Row],[FUNDAMENTAL]:[TECHNICAL]])</f>
        <v>0</v>
      </c>
      <c r="X110">
        <v>0</v>
      </c>
      <c r="Y110" s="52">
        <f t="shared" si="13"/>
        <v>1889.48</v>
      </c>
      <c r="Z110" s="19">
        <v>7910100</v>
      </c>
      <c r="AO110" t="s">
        <v>411</v>
      </c>
      <c r="AP110" s="42">
        <v>2.88</v>
      </c>
      <c r="AQ110" s="50">
        <v>342110000</v>
      </c>
      <c r="AR110" s="51">
        <f t="shared" si="10"/>
        <v>985276800</v>
      </c>
      <c r="AW110" s="2" t="s">
        <v>113</v>
      </c>
      <c r="AX110" s="19">
        <v>27468000</v>
      </c>
      <c r="AY110" s="19">
        <f>VLOOKUP(Table5[[#This Row],[สินทรัพย์]],Table1[],19,FALSE)</f>
        <v>1</v>
      </c>
      <c r="AZ110" s="17">
        <f>VLOOKUP(AW110,Table1[[สินทรัพย์อ้างอิง]:[TOTAL PAPER]],18,FALSE)</f>
        <v>2</v>
      </c>
    </row>
    <row r="111" spans="1:52">
      <c r="A111" t="s">
        <v>122</v>
      </c>
      <c r="B111">
        <v>941.99</v>
      </c>
      <c r="C111" s="1"/>
      <c r="F111" s="2" t="s">
        <v>121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f t="shared" si="11"/>
        <v>1</v>
      </c>
      <c r="V111">
        <f t="shared" si="12"/>
        <v>2</v>
      </c>
      <c r="W111">
        <f>SUM(Table1[[#This Row],[FUNDAMENTAL]:[TECHNICAL]])</f>
        <v>3</v>
      </c>
      <c r="X111">
        <v>0</v>
      </c>
      <c r="Y111" s="52">
        <f t="shared" si="13"/>
        <v>1822.17</v>
      </c>
      <c r="Z111" s="19">
        <v>185706150</v>
      </c>
      <c r="AO111" t="s">
        <v>412</v>
      </c>
      <c r="AP111" s="42">
        <v>1.83</v>
      </c>
      <c r="AQ111" s="50">
        <v>5200000</v>
      </c>
      <c r="AR111" s="51">
        <f t="shared" si="10"/>
        <v>9516000</v>
      </c>
      <c r="AW111" s="2" t="s">
        <v>44</v>
      </c>
      <c r="AX111" s="19">
        <v>27134040</v>
      </c>
      <c r="AY111" s="19">
        <f>VLOOKUP(Table5[[#This Row],[สินทรัพย์]],Table1[],19,FALSE)</f>
        <v>0</v>
      </c>
      <c r="AZ111" s="17">
        <f>VLOOKUP(AW111,Table1[[สินทรัพย์อ้างอิง]:[TOTAL PAPER]],18,FALSE)</f>
        <v>0</v>
      </c>
    </row>
    <row r="112" spans="1:52">
      <c r="A112" t="s">
        <v>123</v>
      </c>
      <c r="B112">
        <v>2352.2600000000002</v>
      </c>
      <c r="C112" s="1" t="s">
        <v>16</v>
      </c>
      <c r="F112" s="2" t="s">
        <v>122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f t="shared" si="11"/>
        <v>2</v>
      </c>
      <c r="V112">
        <f t="shared" si="12"/>
        <v>2</v>
      </c>
      <c r="W112">
        <f>SUM(Table1[[#This Row],[FUNDAMENTAL]:[TECHNICAL]])</f>
        <v>4</v>
      </c>
      <c r="X112">
        <v>1</v>
      </c>
      <c r="Y112" s="52">
        <f t="shared" si="13"/>
        <v>941.99</v>
      </c>
      <c r="Z112" s="19">
        <v>48165600</v>
      </c>
      <c r="AO112" t="s">
        <v>217</v>
      </c>
      <c r="AP112" s="42">
        <v>1.75</v>
      </c>
      <c r="AQ112" s="50">
        <v>135800000</v>
      </c>
      <c r="AR112" s="51">
        <f t="shared" si="10"/>
        <v>237650000</v>
      </c>
      <c r="AW112" s="2" t="s">
        <v>22</v>
      </c>
      <c r="AX112" s="19">
        <v>26835600</v>
      </c>
      <c r="AY112" s="19">
        <f>VLOOKUP(Table5[[#This Row],[สินทรัพย์]],Table1[],19,FALSE)</f>
        <v>1</v>
      </c>
      <c r="AZ112" s="17">
        <f>VLOOKUP(AW112,Table1[[สินทรัพย์อ้างอิง]:[TOTAL PAPER]],18,FALSE)</f>
        <v>1</v>
      </c>
    </row>
    <row r="113" spans="1:52">
      <c r="A113" t="s">
        <v>124</v>
      </c>
      <c r="B113">
        <v>87.25</v>
      </c>
      <c r="C113" s="1"/>
      <c r="F113" s="2" t="s">
        <v>123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f t="shared" si="11"/>
        <v>2</v>
      </c>
      <c r="V113">
        <f t="shared" si="12"/>
        <v>1</v>
      </c>
      <c r="W113">
        <f>SUM(Table1[[#This Row],[FUNDAMENTAL]:[TECHNICAL]])</f>
        <v>3</v>
      </c>
      <c r="X113">
        <v>1</v>
      </c>
      <c r="Y113" s="52">
        <f t="shared" si="13"/>
        <v>2352.2600000000002</v>
      </c>
      <c r="Z113" s="19">
        <v>37135950</v>
      </c>
      <c r="AO113" t="s">
        <v>257</v>
      </c>
      <c r="AP113" s="42">
        <v>1.31</v>
      </c>
      <c r="AQ113" s="50">
        <v>7250000</v>
      </c>
      <c r="AR113" s="51">
        <f t="shared" si="10"/>
        <v>9497500</v>
      </c>
      <c r="AW113" s="2" t="s">
        <v>155</v>
      </c>
      <c r="AX113" s="19">
        <v>26137600</v>
      </c>
      <c r="AY113" s="19">
        <f>VLOOKUP(Table5[[#This Row],[สินทรัพย์]],Table1[],19,FALSE)</f>
        <v>1</v>
      </c>
      <c r="AZ113" s="17">
        <f>VLOOKUP(AW113,Table1[[สินทรัพย์อ้างอิง]:[TOTAL PAPER]],18,FALSE)</f>
        <v>1</v>
      </c>
    </row>
    <row r="114" spans="1:52">
      <c r="A114" t="s">
        <v>125</v>
      </c>
      <c r="B114">
        <v>2042.33</v>
      </c>
      <c r="C114" s="1" t="s">
        <v>16</v>
      </c>
      <c r="F114" s="2" t="s">
        <v>124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f t="shared" si="11"/>
        <v>0</v>
      </c>
      <c r="V114">
        <f t="shared" si="12"/>
        <v>1</v>
      </c>
      <c r="W114">
        <f>SUM(Table1[[#This Row],[FUNDAMENTAL]:[TECHNICAL]])</f>
        <v>1</v>
      </c>
      <c r="X114">
        <v>0</v>
      </c>
      <c r="Y114" s="52">
        <f t="shared" si="13"/>
        <v>87.25</v>
      </c>
      <c r="Z114" s="19">
        <v>8128000</v>
      </c>
      <c r="AO114" t="s">
        <v>413</v>
      </c>
      <c r="AP114" s="42">
        <v>2.54</v>
      </c>
      <c r="AQ114" s="50">
        <v>7000000</v>
      </c>
      <c r="AR114" s="51">
        <f t="shared" si="10"/>
        <v>17780000</v>
      </c>
      <c r="AW114" s="2" t="s">
        <v>170</v>
      </c>
      <c r="AX114" s="19">
        <v>25990000</v>
      </c>
      <c r="AY114" s="19">
        <f>VLOOKUP(Table5[[#This Row],[สินทรัพย์]],Table1[],19,FALSE)</f>
        <v>1</v>
      </c>
      <c r="AZ114" s="17">
        <f>VLOOKUP(AW114,Table1[[สินทรัพย์อ้างอิง]:[TOTAL PAPER]],18,FALSE)</f>
        <v>3</v>
      </c>
    </row>
    <row r="115" spans="1:52">
      <c r="A115" t="s">
        <v>126</v>
      </c>
      <c r="B115">
        <v>6493.33</v>
      </c>
      <c r="C115" s="1"/>
      <c r="F115" s="2" t="s">
        <v>125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f t="shared" si="11"/>
        <v>2</v>
      </c>
      <c r="V115">
        <f t="shared" si="12"/>
        <v>1</v>
      </c>
      <c r="W115">
        <f>SUM(Table1[[#This Row],[FUNDAMENTAL]:[TECHNICAL]])</f>
        <v>3</v>
      </c>
      <c r="X115">
        <v>0</v>
      </c>
      <c r="Y115" s="52">
        <f t="shared" si="13"/>
        <v>2042.33</v>
      </c>
      <c r="Z115" s="19">
        <v>81454905</v>
      </c>
      <c r="AO115" t="s">
        <v>232</v>
      </c>
      <c r="AP115" s="42">
        <v>3.32</v>
      </c>
      <c r="AQ115" s="50">
        <v>5500000</v>
      </c>
      <c r="AR115" s="51">
        <f t="shared" si="10"/>
        <v>18260000</v>
      </c>
      <c r="AW115" s="2" t="s">
        <v>172</v>
      </c>
      <c r="AX115" s="19">
        <v>25300000</v>
      </c>
      <c r="AY115" s="19">
        <f>VLOOKUP(Table5[[#This Row],[สินทรัพย์]],Table1[],19,FALSE)</f>
        <v>0</v>
      </c>
      <c r="AZ115" s="17">
        <f>VLOOKUP(AW115,Table1[[สินทรัพย์อ้างอิง]:[TOTAL PAPER]],18,FALSE)</f>
        <v>0</v>
      </c>
    </row>
    <row r="116" spans="1:52">
      <c r="A116" t="s">
        <v>127</v>
      </c>
      <c r="B116">
        <v>7847.97</v>
      </c>
      <c r="C116" s="1"/>
      <c r="F116" s="2" t="s">
        <v>126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f t="shared" si="11"/>
        <v>1</v>
      </c>
      <c r="V116">
        <f t="shared" si="12"/>
        <v>2</v>
      </c>
      <c r="W116">
        <f>SUM(Table1[[#This Row],[FUNDAMENTAL]:[TECHNICAL]])</f>
        <v>3</v>
      </c>
      <c r="X116">
        <v>2</v>
      </c>
      <c r="Y116" s="52">
        <f t="shared" si="13"/>
        <v>6493.33</v>
      </c>
      <c r="Z116" s="19">
        <v>1771244000</v>
      </c>
      <c r="AO116" t="s">
        <v>284</v>
      </c>
      <c r="AP116" s="42">
        <v>14.4</v>
      </c>
      <c r="AQ116" s="50">
        <v>30585600</v>
      </c>
      <c r="AR116" s="51">
        <f t="shared" si="10"/>
        <v>440432640</v>
      </c>
      <c r="AW116" s="2" t="s">
        <v>159</v>
      </c>
      <c r="AX116" s="19">
        <v>24698500</v>
      </c>
      <c r="AY116" s="19">
        <f>VLOOKUP(Table5[[#This Row],[สินทรัพย์]],Table1[],19,FALSE)</f>
        <v>0</v>
      </c>
      <c r="AZ116" s="17">
        <f>VLOOKUP(AW116,Table1[[สินทรัพย์อ้างอิง]:[TOTAL PAPER]],18,FALSE)</f>
        <v>2</v>
      </c>
    </row>
    <row r="117" spans="1:52">
      <c r="A117" t="s">
        <v>128</v>
      </c>
      <c r="B117">
        <v>1966.45</v>
      </c>
      <c r="C117" s="1"/>
      <c r="F117" s="2" t="s">
        <v>127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f t="shared" si="11"/>
        <v>1</v>
      </c>
      <c r="V117">
        <f t="shared" si="12"/>
        <v>0</v>
      </c>
      <c r="W117">
        <f>SUM(Table1[[#This Row],[FUNDAMENTAL]:[TECHNICAL]])</f>
        <v>1</v>
      </c>
      <c r="X117">
        <v>1</v>
      </c>
      <c r="Y117" s="52">
        <f t="shared" si="13"/>
        <v>7847.97</v>
      </c>
      <c r="Z117" s="19">
        <v>144616320</v>
      </c>
      <c r="AO117" t="s">
        <v>254</v>
      </c>
      <c r="AP117" s="42">
        <v>1.82</v>
      </c>
      <c r="AQ117" s="50">
        <v>20180000</v>
      </c>
      <c r="AR117" s="51">
        <f t="shared" si="10"/>
        <v>36727600</v>
      </c>
      <c r="AW117" s="2" t="s">
        <v>41</v>
      </c>
      <c r="AX117" s="19">
        <v>23820400</v>
      </c>
      <c r="AY117" s="19">
        <f>VLOOKUP(Table5[[#This Row],[สินทรัพย์]],Table1[],19,FALSE)</f>
        <v>0</v>
      </c>
      <c r="AZ117" s="17">
        <f>VLOOKUP(AW117,Table1[[สินทรัพย์อ้างอิง]:[TOTAL PAPER]],18,FALSE)</f>
        <v>0</v>
      </c>
    </row>
    <row r="118" spans="1:52">
      <c r="A118" t="s">
        <v>153</v>
      </c>
      <c r="B118">
        <v>3928.33</v>
      </c>
      <c r="C118" s="1"/>
      <c r="F118" s="2" t="s">
        <v>128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f t="shared" si="11"/>
        <v>1</v>
      </c>
      <c r="V118">
        <f t="shared" si="12"/>
        <v>1</v>
      </c>
      <c r="W118">
        <f>SUM(Table1[[#This Row],[FUNDAMENTAL]:[TECHNICAL]])</f>
        <v>2</v>
      </c>
      <c r="X118">
        <v>1</v>
      </c>
      <c r="Y118" s="52">
        <f t="shared" si="13"/>
        <v>1966.45</v>
      </c>
      <c r="Z118" s="19">
        <v>358484160</v>
      </c>
      <c r="AO118" t="s">
        <v>414</v>
      </c>
      <c r="AP118" s="42">
        <v>1.35</v>
      </c>
      <c r="AQ118" s="50">
        <v>41100000</v>
      </c>
      <c r="AR118" s="51">
        <f t="shared" si="10"/>
        <v>55485000</v>
      </c>
      <c r="AW118" s="2" t="s">
        <v>40</v>
      </c>
      <c r="AX118" s="19">
        <v>23776200</v>
      </c>
      <c r="AY118" s="19">
        <f>VLOOKUP(Table5[[#This Row],[สินทรัพย์]],Table1[],19,FALSE)</f>
        <v>0</v>
      </c>
      <c r="AZ118" s="17">
        <f>VLOOKUP(AW118,Table1[[สินทรัพย์อ้างอิง]:[TOTAL PAPER]],18,FALSE)</f>
        <v>0</v>
      </c>
    </row>
    <row r="119" spans="1:52">
      <c r="A119" t="s">
        <v>130</v>
      </c>
      <c r="B119">
        <v>1923.14</v>
      </c>
      <c r="C119" s="1"/>
      <c r="F119" s="2" t="s">
        <v>129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f t="shared" si="11"/>
        <v>1</v>
      </c>
      <c r="V119">
        <f t="shared" si="12"/>
        <v>1</v>
      </c>
      <c r="W119">
        <f>SUM(Table1[[#This Row],[FUNDAMENTAL]:[TECHNICAL]])</f>
        <v>2</v>
      </c>
      <c r="X119">
        <v>0</v>
      </c>
      <c r="Y119" s="52">
        <f t="shared" si="13"/>
        <v>6580.89</v>
      </c>
      <c r="Z119" s="19">
        <v>1017906400</v>
      </c>
      <c r="AO119" t="s">
        <v>415</v>
      </c>
      <c r="AP119" s="42">
        <v>4.0199999999999996</v>
      </c>
      <c r="AQ119" s="50">
        <v>69980000</v>
      </c>
      <c r="AR119" s="51">
        <f t="shared" si="10"/>
        <v>281319599.99999994</v>
      </c>
      <c r="AW119" s="2" t="s">
        <v>178</v>
      </c>
      <c r="AX119" s="19">
        <v>23749000</v>
      </c>
      <c r="AY119" s="19">
        <f>VLOOKUP(Table5[[#This Row],[สินทรัพย์]],Table1[],19,FALSE)</f>
        <v>0</v>
      </c>
      <c r="AZ119" s="17">
        <f>VLOOKUP(AW119,Table1[[สินทรัพย์อ้างอิง]:[TOTAL PAPER]],18,FALSE)</f>
        <v>0</v>
      </c>
    </row>
    <row r="120" spans="1:52">
      <c r="A120" t="s">
        <v>119</v>
      </c>
      <c r="B120">
        <v>6346.16</v>
      </c>
      <c r="C120" s="1" t="s">
        <v>193</v>
      </c>
      <c r="F120" s="2" t="s">
        <v>130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f t="shared" si="11"/>
        <v>0</v>
      </c>
      <c r="V120">
        <f t="shared" si="12"/>
        <v>1</v>
      </c>
      <c r="W120">
        <f>SUM(Table1[[#This Row],[FUNDAMENTAL]:[TECHNICAL]])</f>
        <v>1</v>
      </c>
      <c r="X120">
        <v>0</v>
      </c>
      <c r="Y120" s="52">
        <f t="shared" si="13"/>
        <v>1923.14</v>
      </c>
      <c r="Z120" s="19">
        <v>22440000</v>
      </c>
      <c r="AO120" t="s">
        <v>229</v>
      </c>
      <c r="AP120" s="42">
        <v>2.74</v>
      </c>
      <c r="AQ120" s="50">
        <v>15500000</v>
      </c>
      <c r="AR120" s="51">
        <f t="shared" si="10"/>
        <v>42470000</v>
      </c>
      <c r="AW120" s="2" t="s">
        <v>143</v>
      </c>
      <c r="AX120" s="19">
        <v>23004400</v>
      </c>
      <c r="AY120" s="19">
        <f>VLOOKUP(Table5[[#This Row],[สินทรัพย์]],Table1[],19,FALSE)</f>
        <v>1</v>
      </c>
      <c r="AZ120" s="17">
        <f>VLOOKUP(AW120,Table1[[สินทรัพย์อ้างอิง]:[TOTAL PAPER]],18,FALSE)</f>
        <v>4</v>
      </c>
    </row>
    <row r="121" spans="1:52">
      <c r="A121" t="s">
        <v>131</v>
      </c>
      <c r="B121">
        <v>259.76</v>
      </c>
      <c r="C121" s="1"/>
      <c r="F121" s="2" t="s">
        <v>131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f t="shared" si="11"/>
        <v>3</v>
      </c>
      <c r="V121">
        <f t="shared" si="12"/>
        <v>1</v>
      </c>
      <c r="W121">
        <f>SUM(Table1[[#This Row],[FUNDAMENTAL]:[TECHNICAL]])</f>
        <v>4</v>
      </c>
      <c r="X121">
        <v>1</v>
      </c>
      <c r="Y121" s="52">
        <f t="shared" si="13"/>
        <v>259.76</v>
      </c>
      <c r="Z121" s="19">
        <v>20064000</v>
      </c>
      <c r="AO121" t="s">
        <v>258</v>
      </c>
      <c r="AP121" s="42">
        <v>6.05</v>
      </c>
      <c r="AQ121" s="50">
        <v>16051400</v>
      </c>
      <c r="AR121" s="51">
        <f t="shared" si="10"/>
        <v>97110970</v>
      </c>
      <c r="AW121" s="2" t="s">
        <v>35</v>
      </c>
      <c r="AX121" s="19">
        <v>22440600</v>
      </c>
      <c r="AY121" s="19">
        <f>VLOOKUP(Table5[[#This Row],[สินทรัพย์]],Table1[],19,FALSE)</f>
        <v>1</v>
      </c>
      <c r="AZ121" s="17">
        <f>VLOOKUP(AW121,Table1[[สินทรัพย์อ้างอิง]:[TOTAL PAPER]],18,FALSE)</f>
        <v>3</v>
      </c>
    </row>
    <row r="122" spans="1:52">
      <c r="A122" t="s">
        <v>132</v>
      </c>
      <c r="B122">
        <v>796.54</v>
      </c>
      <c r="C122" s="1"/>
      <c r="F122" s="2" t="s">
        <v>132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f t="shared" si="11"/>
        <v>0</v>
      </c>
      <c r="V122">
        <f t="shared" si="12"/>
        <v>0</v>
      </c>
      <c r="W122">
        <f>SUM(Table1[[#This Row],[FUNDAMENTAL]:[TECHNICAL]])</f>
        <v>0</v>
      </c>
      <c r="X122">
        <v>1</v>
      </c>
      <c r="Y122" s="52">
        <f t="shared" si="13"/>
        <v>796.54</v>
      </c>
      <c r="Z122" s="19">
        <v>6615040</v>
      </c>
      <c r="AO122" t="s">
        <v>282</v>
      </c>
      <c r="AP122" s="42">
        <v>2.54</v>
      </c>
      <c r="AQ122" s="50">
        <v>26000000</v>
      </c>
      <c r="AR122" s="51">
        <f t="shared" si="10"/>
        <v>66040000</v>
      </c>
      <c r="AW122" s="2" t="s">
        <v>130</v>
      </c>
      <c r="AX122" s="19">
        <v>22440000</v>
      </c>
      <c r="AY122" s="19">
        <f>VLOOKUP(Table5[[#This Row],[สินทรัพย์]],Table1[],19,FALSE)</f>
        <v>0</v>
      </c>
      <c r="AZ122" s="17">
        <f>VLOOKUP(AW122,Table1[[สินทรัพย์อ้างอิง]:[TOTAL PAPER]],18,FALSE)</f>
        <v>1</v>
      </c>
    </row>
    <row r="123" spans="1:52">
      <c r="A123" t="s">
        <v>133</v>
      </c>
      <c r="B123">
        <v>2256.54</v>
      </c>
      <c r="C123" s="1"/>
      <c r="F123" s="2" t="s">
        <v>133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f t="shared" si="11"/>
        <v>1</v>
      </c>
      <c r="V123">
        <f t="shared" si="12"/>
        <v>1</v>
      </c>
      <c r="W123">
        <f>SUM(Table1[[#This Row],[FUNDAMENTAL]:[TECHNICAL]])</f>
        <v>2</v>
      </c>
      <c r="X123">
        <v>1</v>
      </c>
      <c r="Y123" s="52">
        <f t="shared" si="13"/>
        <v>2256.54</v>
      </c>
      <c r="Z123" s="19">
        <v>45892260</v>
      </c>
      <c r="AO123" t="s">
        <v>219</v>
      </c>
      <c r="AP123" s="42">
        <v>2.54</v>
      </c>
      <c r="AQ123" s="50">
        <v>246312000</v>
      </c>
      <c r="AR123" s="51">
        <f t="shared" si="10"/>
        <v>625632480</v>
      </c>
      <c r="AW123" s="2" t="s">
        <v>50</v>
      </c>
      <c r="AX123" s="19">
        <v>21848400</v>
      </c>
      <c r="AY123" s="19">
        <f>VLOOKUP(Table5[[#This Row],[สินทรัพย์]],Table1[],19,FALSE)</f>
        <v>1</v>
      </c>
      <c r="AZ123" s="17">
        <f>VLOOKUP(AW123,Table1[[สินทรัพย์อ้างอิง]:[TOTAL PAPER]],18,FALSE)</f>
        <v>2</v>
      </c>
    </row>
    <row r="124" spans="1:52">
      <c r="A124" t="s">
        <v>134</v>
      </c>
      <c r="B124">
        <v>52.97</v>
      </c>
      <c r="C124" s="1"/>
      <c r="F124" s="2" t="s">
        <v>134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f t="shared" si="11"/>
        <v>0</v>
      </c>
      <c r="V124">
        <f t="shared" si="12"/>
        <v>2</v>
      </c>
      <c r="W124">
        <f>SUM(Table1[[#This Row],[FUNDAMENTAL]:[TECHNICAL]])</f>
        <v>2</v>
      </c>
      <c r="X124">
        <v>1</v>
      </c>
      <c r="Y124" s="52">
        <f t="shared" si="13"/>
        <v>52.97</v>
      </c>
      <c r="Z124" s="19">
        <v>8640060</v>
      </c>
      <c r="AO124" t="s">
        <v>416</v>
      </c>
      <c r="AP124" s="42">
        <v>8.5</v>
      </c>
      <c r="AQ124" s="50">
        <v>3800000</v>
      </c>
      <c r="AR124" s="51">
        <f t="shared" si="10"/>
        <v>32300000</v>
      </c>
      <c r="AW124" s="2" t="s">
        <v>102</v>
      </c>
      <c r="AX124" s="19">
        <v>20717200</v>
      </c>
      <c r="AY124" s="19">
        <f>VLOOKUP(Table5[[#This Row],[สินทรัพย์]],Table1[],19,FALSE)</f>
        <v>0</v>
      </c>
      <c r="AZ124" s="17">
        <f>VLOOKUP(AW124,Table1[[สินทรัพย์อ้างอิง]:[TOTAL PAPER]],18,FALSE)</f>
        <v>3</v>
      </c>
    </row>
    <row r="125" spans="1:52">
      <c r="A125" t="s">
        <v>135</v>
      </c>
      <c r="B125">
        <v>562.45000000000005</v>
      </c>
      <c r="C125" s="1"/>
      <c r="F125" s="2" t="s">
        <v>135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f t="shared" si="11"/>
        <v>1</v>
      </c>
      <c r="V125">
        <f t="shared" si="12"/>
        <v>0</v>
      </c>
      <c r="W125">
        <f>SUM(Table1[[#This Row],[FUNDAMENTAL]:[TECHNICAL]])</f>
        <v>1</v>
      </c>
      <c r="X125">
        <v>1</v>
      </c>
      <c r="Y125" s="52">
        <f t="shared" si="13"/>
        <v>562.45000000000005</v>
      </c>
      <c r="Z125" s="19">
        <v>6889776</v>
      </c>
      <c r="AO125" t="s">
        <v>417</v>
      </c>
      <c r="AP125" s="42">
        <v>15.1</v>
      </c>
      <c r="AQ125" s="50">
        <v>1372000</v>
      </c>
      <c r="AR125" s="51">
        <f t="shared" si="10"/>
        <v>20717200</v>
      </c>
      <c r="AW125" s="2" t="s">
        <v>131</v>
      </c>
      <c r="AX125" s="19">
        <v>20064000</v>
      </c>
      <c r="AY125" s="19">
        <f>VLOOKUP(Table5[[#This Row],[สินทรัพย์]],Table1[],19,FALSE)</f>
        <v>1</v>
      </c>
      <c r="AZ125" s="17">
        <f>VLOOKUP(AW125,Table1[[สินทรัพย์อ้างอิง]:[TOTAL PAPER]],18,FALSE)</f>
        <v>4</v>
      </c>
    </row>
    <row r="126" spans="1:52">
      <c r="A126" t="s">
        <v>136</v>
      </c>
      <c r="B126">
        <v>180.66</v>
      </c>
      <c r="C126" s="1" t="s">
        <v>194</v>
      </c>
      <c r="F126" s="2" t="s">
        <v>136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f t="shared" si="11"/>
        <v>0</v>
      </c>
      <c r="V126">
        <f t="shared" si="12"/>
        <v>0</v>
      </c>
      <c r="W126">
        <f>SUM(Table1[[#This Row],[FUNDAMENTAL]:[TECHNICAL]])</f>
        <v>0</v>
      </c>
      <c r="X126">
        <v>0</v>
      </c>
      <c r="Y126" s="52">
        <f t="shared" si="13"/>
        <v>180.66</v>
      </c>
      <c r="Z126" s="19">
        <v>6933600</v>
      </c>
      <c r="AO126" t="s">
        <v>291</v>
      </c>
      <c r="AP126" s="42">
        <v>3.36</v>
      </c>
      <c r="AQ126" s="50">
        <v>2500000</v>
      </c>
      <c r="AR126" s="51">
        <f t="shared" si="10"/>
        <v>8400000</v>
      </c>
      <c r="AW126" s="2" t="s">
        <v>146</v>
      </c>
      <c r="AX126" s="19">
        <v>20053075</v>
      </c>
      <c r="AY126" s="19">
        <f>VLOOKUP(Table5[[#This Row],[สินทรัพย์]],Table1[],19,FALSE)</f>
        <v>1</v>
      </c>
      <c r="AZ126" s="17">
        <f>VLOOKUP(AW126,Table1[[สินทรัพย์อ้างอิง]:[TOTAL PAPER]],18,FALSE)</f>
        <v>3</v>
      </c>
    </row>
    <row r="127" spans="1:52">
      <c r="A127" t="s">
        <v>137</v>
      </c>
      <c r="B127">
        <v>42.7</v>
      </c>
      <c r="C127" s="1"/>
      <c r="F127" s="2" t="s">
        <v>137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f t="shared" si="11"/>
        <v>0</v>
      </c>
      <c r="V127">
        <f t="shared" si="12"/>
        <v>1</v>
      </c>
      <c r="W127">
        <f>SUM(Table1[[#This Row],[FUNDAMENTAL]:[TECHNICAL]])</f>
        <v>1</v>
      </c>
      <c r="X127">
        <v>0</v>
      </c>
      <c r="Y127" s="52">
        <f t="shared" si="13"/>
        <v>42.7</v>
      </c>
      <c r="Z127" s="19">
        <v>39564000</v>
      </c>
      <c r="AO127" t="s">
        <v>287</v>
      </c>
      <c r="AP127" s="42">
        <v>3.88</v>
      </c>
      <c r="AQ127" s="50">
        <v>4500000</v>
      </c>
      <c r="AR127" s="51">
        <f t="shared" si="10"/>
        <v>17460000</v>
      </c>
      <c r="AW127" s="2" t="s">
        <v>30</v>
      </c>
      <c r="AX127" s="19">
        <v>19217187.5</v>
      </c>
      <c r="AY127" s="19">
        <f>VLOOKUP(Table5[[#This Row],[สินทรัพย์]],Table1[],19,FALSE)</f>
        <v>0</v>
      </c>
      <c r="AZ127" s="17">
        <f>VLOOKUP(AW127,Table1[[สินทรัพย์อ้างอิง]:[TOTAL PAPER]],18,FALSE)</f>
        <v>0</v>
      </c>
    </row>
    <row r="128" spans="1:52">
      <c r="A128" t="s">
        <v>138</v>
      </c>
      <c r="B128">
        <v>1122.6300000000001</v>
      </c>
      <c r="C128" s="1"/>
      <c r="F128" s="2" t="s">
        <v>138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f t="shared" si="11"/>
        <v>1</v>
      </c>
      <c r="V128">
        <f t="shared" si="12"/>
        <v>1</v>
      </c>
      <c r="W128">
        <f>SUM(Table1[[#This Row],[FUNDAMENTAL]:[TECHNICAL]])</f>
        <v>2</v>
      </c>
      <c r="X128">
        <v>0</v>
      </c>
      <c r="Y128" s="52">
        <f t="shared" si="13"/>
        <v>1122.6300000000001</v>
      </c>
      <c r="Z128" s="19">
        <v>208126780</v>
      </c>
      <c r="AO128" t="s">
        <v>250</v>
      </c>
      <c r="AP128" s="42">
        <v>4.46</v>
      </c>
      <c r="AQ128" s="50">
        <v>21185400</v>
      </c>
      <c r="AR128" s="51">
        <f t="shared" si="10"/>
        <v>94486884</v>
      </c>
      <c r="AW128" s="2" t="s">
        <v>82</v>
      </c>
      <c r="AX128" s="19">
        <v>19136400</v>
      </c>
      <c r="AY128" s="19">
        <f>VLOOKUP(Table5[[#This Row],[สินทรัพย์]],Table1[],19,FALSE)</f>
        <v>0</v>
      </c>
      <c r="AZ128" s="17">
        <f>VLOOKUP(AW128,Table1[[สินทรัพย์อ้างอิง]:[TOTAL PAPER]],18,FALSE)</f>
        <v>1</v>
      </c>
    </row>
    <row r="129" spans="1:52">
      <c r="A129" t="s">
        <v>139</v>
      </c>
      <c r="B129">
        <v>675.94</v>
      </c>
      <c r="C129" s="1" t="s">
        <v>16</v>
      </c>
      <c r="F129" s="2" t="s">
        <v>139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f t="shared" si="11"/>
        <v>1</v>
      </c>
      <c r="V129">
        <f t="shared" si="12"/>
        <v>2</v>
      </c>
      <c r="W129">
        <f>SUM(Table1[[#This Row],[FUNDAMENTAL]:[TECHNICAL]])</f>
        <v>3</v>
      </c>
      <c r="X129">
        <v>1</v>
      </c>
      <c r="Y129" s="52">
        <f t="shared" si="13"/>
        <v>675.94</v>
      </c>
      <c r="Z129" s="19">
        <v>87984000</v>
      </c>
      <c r="AO129" t="s">
        <v>260</v>
      </c>
      <c r="AP129" s="42">
        <v>3.8</v>
      </c>
      <c r="AQ129" s="50">
        <v>27000000</v>
      </c>
      <c r="AR129" s="51">
        <f t="shared" si="10"/>
        <v>102600000</v>
      </c>
      <c r="AW129" s="2" t="s">
        <v>79</v>
      </c>
      <c r="AX129" s="19">
        <v>18733200</v>
      </c>
      <c r="AY129" s="19">
        <f>VLOOKUP(Table5[[#This Row],[สินทรัพย์]],Table1[],19,FALSE)</f>
        <v>0</v>
      </c>
      <c r="AZ129" s="17">
        <f>VLOOKUP(AW129,Table1[[สินทรัพย์อ้างอิง]:[TOTAL PAPER]],18,FALSE)</f>
        <v>1</v>
      </c>
    </row>
    <row r="130" spans="1:52">
      <c r="A130" t="s">
        <v>140</v>
      </c>
      <c r="B130">
        <v>21752.37</v>
      </c>
      <c r="C130" s="1" t="s">
        <v>16</v>
      </c>
      <c r="F130" s="2" t="s">
        <v>140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f t="shared" si="11"/>
        <v>2</v>
      </c>
      <c r="V130">
        <f t="shared" si="12"/>
        <v>3</v>
      </c>
      <c r="W130">
        <f>SUM(Table1[[#This Row],[FUNDAMENTAL]:[TECHNICAL]])</f>
        <v>5</v>
      </c>
      <c r="X130">
        <v>1</v>
      </c>
      <c r="Y130" s="52">
        <f t="shared" si="13"/>
        <v>21752.37</v>
      </c>
      <c r="Z130" s="19">
        <v>508568900</v>
      </c>
      <c r="AO130" t="s">
        <v>222</v>
      </c>
      <c r="AP130" s="42">
        <v>7.55</v>
      </c>
      <c r="AQ130" s="50">
        <v>79542000</v>
      </c>
      <c r="AR130" s="51">
        <f t="shared" si="10"/>
        <v>600542100</v>
      </c>
      <c r="AW130" s="2" t="s">
        <v>95</v>
      </c>
      <c r="AX130" s="19">
        <v>18260000</v>
      </c>
      <c r="AY130" s="19">
        <f>VLOOKUP(Table5[[#This Row],[สินทรัพย์]],Table1[],19,FALSE)</f>
        <v>0</v>
      </c>
      <c r="AZ130" s="17">
        <f>VLOOKUP(AW130,Table1[[สินทรัพย์อ้างอิง]:[TOTAL PAPER]],18,FALSE)</f>
        <v>2</v>
      </c>
    </row>
    <row r="131" spans="1:52">
      <c r="A131" t="s">
        <v>141</v>
      </c>
      <c r="B131">
        <v>4534.1400000000003</v>
      </c>
      <c r="C131" s="1"/>
      <c r="F131" s="2" t="s">
        <v>141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f t="shared" si="11"/>
        <v>1</v>
      </c>
      <c r="V131">
        <f t="shared" si="12"/>
        <v>2</v>
      </c>
      <c r="W131">
        <f>SUM(Table1[[#This Row],[FUNDAMENTAL]:[TECHNICAL]])</f>
        <v>3</v>
      </c>
      <c r="X131">
        <v>1</v>
      </c>
      <c r="Y131" s="52">
        <f t="shared" si="13"/>
        <v>4534.1400000000003</v>
      </c>
      <c r="Z131" s="19">
        <v>38640000</v>
      </c>
      <c r="AO131" t="s">
        <v>418</v>
      </c>
      <c r="AP131" s="42">
        <v>3.78</v>
      </c>
      <c r="AQ131" s="50">
        <v>2900000</v>
      </c>
      <c r="AR131" s="51">
        <f t="shared" si="10"/>
        <v>10962000</v>
      </c>
      <c r="AW131" s="2" t="s">
        <v>26</v>
      </c>
      <c r="AX131" s="19">
        <v>17850000</v>
      </c>
      <c r="AY131" s="19">
        <f>VLOOKUP(Table5[[#This Row],[สินทรัพย์]],Table1[],19,FALSE)</f>
        <v>1</v>
      </c>
      <c r="AZ131" s="17">
        <f>VLOOKUP(AW131,Table1[[สินทรัพย์อ้างอิง]:[TOTAL PAPER]],18,FALSE)</f>
        <v>0</v>
      </c>
    </row>
    <row r="132" spans="1:52">
      <c r="A132" t="s">
        <v>142</v>
      </c>
      <c r="B132">
        <v>870.66</v>
      </c>
      <c r="C132" s="1"/>
      <c r="F132" s="2" t="s">
        <v>142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f t="shared" ref="U132:U163" si="14">SUM(G132:H132,K132:Q132,S132)</f>
        <v>1</v>
      </c>
      <c r="V132">
        <f t="shared" ref="V132:V163" si="15">SUM(J132,R132,T132)</f>
        <v>0</v>
      </c>
      <c r="W132">
        <f>SUM(Table1[[#This Row],[FUNDAMENTAL]:[TECHNICAL]])</f>
        <v>1</v>
      </c>
      <c r="X132">
        <v>0</v>
      </c>
      <c r="Y132" s="52">
        <f t="shared" ref="Y132:Y163" si="16">VLOOKUP(F132,$A$3:$B$174,2,FALSE)</f>
        <v>870.66</v>
      </c>
      <c r="Z132" s="19">
        <v>93419820</v>
      </c>
      <c r="AO132" t="s">
        <v>419</v>
      </c>
      <c r="AP132" s="42">
        <v>5.25</v>
      </c>
      <c r="AQ132" s="50">
        <v>9380000</v>
      </c>
      <c r="AR132" s="51">
        <f t="shared" ref="AR132:AR195" si="17">AP132*AQ132</f>
        <v>49245000</v>
      </c>
      <c r="AW132" s="2" t="s">
        <v>94</v>
      </c>
      <c r="AX132" s="19">
        <v>17780000</v>
      </c>
      <c r="AY132" s="19">
        <f>VLOOKUP(Table5[[#This Row],[สินทรัพย์]],Table1[],19,FALSE)</f>
        <v>0</v>
      </c>
      <c r="AZ132" s="17">
        <f>VLOOKUP(AW132,Table1[[สินทรัพย์อ้างอิง]:[TOTAL PAPER]],18,FALSE)</f>
        <v>0</v>
      </c>
    </row>
    <row r="133" spans="1:52">
      <c r="A133" t="s">
        <v>143</v>
      </c>
      <c r="B133">
        <v>996.19</v>
      </c>
      <c r="C133" s="1"/>
      <c r="F133" s="2" t="s">
        <v>143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1</v>
      </c>
      <c r="U133">
        <f t="shared" si="14"/>
        <v>2</v>
      </c>
      <c r="V133">
        <f t="shared" si="15"/>
        <v>2</v>
      </c>
      <c r="W133">
        <f>SUM(Table1[[#This Row],[FUNDAMENTAL]:[TECHNICAL]])</f>
        <v>4</v>
      </c>
      <c r="X133">
        <v>1</v>
      </c>
      <c r="Y133" s="52">
        <f t="shared" si="16"/>
        <v>996.19</v>
      </c>
      <c r="Z133" s="19">
        <v>23004400</v>
      </c>
      <c r="AO133" t="s">
        <v>420</v>
      </c>
      <c r="AP133" s="42">
        <v>4.24</v>
      </c>
      <c r="AQ133" s="50">
        <v>15025000</v>
      </c>
      <c r="AR133" s="51">
        <f t="shared" si="17"/>
        <v>63706000</v>
      </c>
      <c r="AW133" s="2" t="s">
        <v>51</v>
      </c>
      <c r="AX133" s="19">
        <v>17771520</v>
      </c>
      <c r="AY133" s="19">
        <f>VLOOKUP(Table5[[#This Row],[สินทรัพย์]],Table1[],19,FALSE)</f>
        <v>0</v>
      </c>
      <c r="AZ133" s="17">
        <f>VLOOKUP(AW133,Table1[[สินทรัพย์อ้างอิง]:[TOTAL PAPER]],18,FALSE)</f>
        <v>2</v>
      </c>
    </row>
    <row r="134" spans="1:52">
      <c r="A134" t="s">
        <v>144</v>
      </c>
      <c r="B134">
        <v>285</v>
      </c>
      <c r="C134" s="1"/>
      <c r="F134" s="2" t="s">
        <v>144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f t="shared" si="14"/>
        <v>1</v>
      </c>
      <c r="V134">
        <f t="shared" si="15"/>
        <v>0</v>
      </c>
      <c r="W134">
        <f>SUM(Table1[[#This Row],[FUNDAMENTAL]:[TECHNICAL]])</f>
        <v>1</v>
      </c>
      <c r="X134">
        <v>1</v>
      </c>
      <c r="Y134" s="52">
        <f t="shared" si="16"/>
        <v>285</v>
      </c>
      <c r="Z134" s="19">
        <v>263001200</v>
      </c>
      <c r="AO134" t="s">
        <v>421</v>
      </c>
      <c r="AP134" s="42">
        <v>10.9</v>
      </c>
      <c r="AQ134" s="50">
        <v>25066000</v>
      </c>
      <c r="AR134" s="51">
        <f t="shared" si="17"/>
        <v>273219400</v>
      </c>
      <c r="AW134" s="2" t="s">
        <v>14</v>
      </c>
      <c r="AX134" s="19">
        <v>17760900</v>
      </c>
      <c r="AY134" s="19">
        <f>VLOOKUP(Table5[[#This Row],[สินทรัพย์]],Table1[],19,FALSE)</f>
        <v>1</v>
      </c>
      <c r="AZ134" s="17">
        <f>VLOOKUP(AW134,Table1[[สินทรัพย์อ้างอิง]:[TOTAL PAPER]],18,FALSE)</f>
        <v>2</v>
      </c>
    </row>
    <row r="135" spans="1:52">
      <c r="A135" t="s">
        <v>145</v>
      </c>
      <c r="B135">
        <v>658.54</v>
      </c>
      <c r="C135" s="1"/>
      <c r="F135" s="2" t="s">
        <v>145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f t="shared" si="14"/>
        <v>3</v>
      </c>
      <c r="V135">
        <f t="shared" si="15"/>
        <v>0</v>
      </c>
      <c r="W135">
        <f>SUM(Table1[[#This Row],[FUNDAMENTAL]:[TECHNICAL]])</f>
        <v>3</v>
      </c>
      <c r="X135">
        <v>1</v>
      </c>
      <c r="Y135" s="52">
        <f t="shared" si="16"/>
        <v>658.54</v>
      </c>
      <c r="Z135" s="19">
        <v>61655040</v>
      </c>
      <c r="AO135" t="s">
        <v>270</v>
      </c>
      <c r="AP135" s="42">
        <v>3.18</v>
      </c>
      <c r="AQ135" s="50">
        <v>11000000</v>
      </c>
      <c r="AR135" s="51">
        <f t="shared" si="17"/>
        <v>34980000</v>
      </c>
      <c r="AW135" s="2" t="s">
        <v>104</v>
      </c>
      <c r="AX135" s="19">
        <v>17460000</v>
      </c>
      <c r="AY135" s="19">
        <f>VLOOKUP(Table5[[#This Row],[สินทรัพย์]],Table1[],19,FALSE)</f>
        <v>0</v>
      </c>
      <c r="AZ135" s="17">
        <f>VLOOKUP(AW135,Table1[[สินทรัพย์อ้างอิง]:[TOTAL PAPER]],18,FALSE)</f>
        <v>2</v>
      </c>
    </row>
    <row r="136" spans="1:52">
      <c r="A136" t="s">
        <v>146</v>
      </c>
      <c r="B136">
        <v>1120.9100000000001</v>
      </c>
      <c r="C136" s="1"/>
      <c r="F136" s="2" t="s">
        <v>146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f t="shared" si="14"/>
        <v>2</v>
      </c>
      <c r="V136">
        <f t="shared" si="15"/>
        <v>1</v>
      </c>
      <c r="W136">
        <f>SUM(Table1[[#This Row],[FUNDAMENTAL]:[TECHNICAL]])</f>
        <v>3</v>
      </c>
      <c r="X136">
        <v>1</v>
      </c>
      <c r="Y136" s="52">
        <f t="shared" si="16"/>
        <v>1120.9100000000001</v>
      </c>
      <c r="Z136" s="19">
        <v>20053075</v>
      </c>
      <c r="AO136" t="s">
        <v>422</v>
      </c>
      <c r="AP136" s="42">
        <v>21</v>
      </c>
      <c r="AQ136" s="50">
        <v>28524000</v>
      </c>
      <c r="AR136" s="51">
        <f t="shared" si="17"/>
        <v>599004000</v>
      </c>
      <c r="AW136" s="2" t="s">
        <v>114</v>
      </c>
      <c r="AX136" s="19">
        <v>15825300</v>
      </c>
      <c r="AY136" s="19">
        <f>VLOOKUP(Table5[[#This Row],[สินทรัพย์]],Table1[],19,FALSE)</f>
        <v>0</v>
      </c>
      <c r="AZ136" s="17">
        <f>VLOOKUP(AW136,Table1[[สินทรัพย์อ้างอิง]:[TOTAL PAPER]],18,FALSE)</f>
        <v>2</v>
      </c>
    </row>
    <row r="137" spans="1:52">
      <c r="A137" t="s">
        <v>147</v>
      </c>
      <c r="B137">
        <v>1.46</v>
      </c>
      <c r="C137" s="1"/>
      <c r="F137" s="2" t="s">
        <v>147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f t="shared" si="14"/>
        <v>2</v>
      </c>
      <c r="V137">
        <f t="shared" si="15"/>
        <v>0</v>
      </c>
      <c r="W137">
        <f>SUM(Table1[[#This Row],[FUNDAMENTAL]:[TECHNICAL]])</f>
        <v>2</v>
      </c>
      <c r="X137">
        <v>1</v>
      </c>
      <c r="Y137" s="52">
        <f t="shared" si="16"/>
        <v>1.46</v>
      </c>
      <c r="Z137" s="19">
        <v>4625000</v>
      </c>
      <c r="AO137" t="s">
        <v>423</v>
      </c>
      <c r="AP137" s="42">
        <v>8.85</v>
      </c>
      <c r="AQ137" s="50">
        <v>7180000</v>
      </c>
      <c r="AR137" s="51">
        <f t="shared" si="17"/>
        <v>63543000</v>
      </c>
      <c r="AW137" s="2" t="s">
        <v>68</v>
      </c>
      <c r="AX137" s="19">
        <v>14484390</v>
      </c>
      <c r="AY137" s="19">
        <f>VLOOKUP(Table5[[#This Row],[สินทรัพย์]],Table1[],19,FALSE)</f>
        <v>0</v>
      </c>
      <c r="AZ137" s="17">
        <f>VLOOKUP(AW137,Table1[[สินทรัพย์อ้างอิง]:[TOTAL PAPER]],18,FALSE)</f>
        <v>2</v>
      </c>
    </row>
    <row r="138" spans="1:52">
      <c r="A138" t="s">
        <v>58</v>
      </c>
      <c r="B138">
        <f>829.8+3614.68</f>
        <v>4444.4799999999996</v>
      </c>
      <c r="C138" s="1"/>
      <c r="F138" s="2" t="s">
        <v>148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f t="shared" si="14"/>
        <v>2</v>
      </c>
      <c r="V138">
        <f t="shared" si="15"/>
        <v>0</v>
      </c>
      <c r="W138">
        <f>SUM(Table1[[#This Row],[FUNDAMENTAL]:[TECHNICAL]])</f>
        <v>2</v>
      </c>
      <c r="X138">
        <v>1</v>
      </c>
      <c r="Y138" s="52">
        <f t="shared" si="16"/>
        <v>232.44</v>
      </c>
      <c r="Z138" s="19">
        <v>6134400</v>
      </c>
      <c r="AO138" t="s">
        <v>230</v>
      </c>
      <c r="AP138" s="42">
        <v>2.88</v>
      </c>
      <c r="AQ138" s="50">
        <v>31000000</v>
      </c>
      <c r="AR138" s="51">
        <f t="shared" si="17"/>
        <v>89280000</v>
      </c>
      <c r="AW138" s="2" t="s">
        <v>21</v>
      </c>
      <c r="AX138" s="19">
        <v>14250240</v>
      </c>
      <c r="AY138" s="19">
        <f>VLOOKUP(Table5[[#This Row],[สินทรัพย์]],Table1[],19,FALSE)</f>
        <v>0</v>
      </c>
      <c r="AZ138" s="17">
        <f>VLOOKUP(AW138,Table1[[สินทรัพย์อ้างอิง]:[TOTAL PAPER]],18,FALSE)</f>
        <v>0</v>
      </c>
    </row>
    <row r="139" spans="1:52">
      <c r="A139" t="s">
        <v>59</v>
      </c>
      <c r="B139">
        <v>6237.69</v>
      </c>
      <c r="C139" s="1"/>
      <c r="F139" s="2" t="s">
        <v>149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f t="shared" si="14"/>
        <v>2</v>
      </c>
      <c r="V139">
        <f t="shared" si="15"/>
        <v>0</v>
      </c>
      <c r="W139">
        <f>SUM(Table1[[#This Row],[FUNDAMENTAL]:[TECHNICAL]])</f>
        <v>2</v>
      </c>
      <c r="X139">
        <v>1</v>
      </c>
      <c r="Y139" s="52">
        <f t="shared" si="16"/>
        <v>33.36</v>
      </c>
      <c r="Z139" s="19">
        <v>4480000</v>
      </c>
      <c r="AO139" t="s">
        <v>223</v>
      </c>
      <c r="AP139" s="42">
        <v>2.86</v>
      </c>
      <c r="AQ139" s="50">
        <v>88665000</v>
      </c>
      <c r="AR139" s="51">
        <f t="shared" si="17"/>
        <v>253581900</v>
      </c>
      <c r="AW139" s="2" t="s">
        <v>72</v>
      </c>
      <c r="AX139" s="19">
        <v>13916160</v>
      </c>
      <c r="AY139" s="19">
        <f>VLOOKUP(Table5[[#This Row],[สินทรัพย์]],Table1[],19,FALSE)</f>
        <v>0</v>
      </c>
      <c r="AZ139" s="17">
        <f>VLOOKUP(AW139,Table1[[สินทรัพย์อ้างอิง]:[TOTAL PAPER]],18,FALSE)</f>
        <v>1</v>
      </c>
    </row>
    <row r="140" spans="1:52">
      <c r="A140" t="s">
        <v>148</v>
      </c>
      <c r="B140">
        <v>232.44</v>
      </c>
      <c r="C140" s="1"/>
      <c r="F140" s="2" t="s">
        <v>150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f t="shared" si="14"/>
        <v>3</v>
      </c>
      <c r="V140">
        <f t="shared" si="15"/>
        <v>0</v>
      </c>
      <c r="W140">
        <f>SUM(Table1[[#This Row],[FUNDAMENTAL]:[TECHNICAL]])</f>
        <v>3</v>
      </c>
      <c r="X140">
        <v>1</v>
      </c>
      <c r="Y140" s="52">
        <f t="shared" si="16"/>
        <v>423.51</v>
      </c>
      <c r="Z140" s="19">
        <v>6350000</v>
      </c>
      <c r="AO140" t="s">
        <v>272</v>
      </c>
      <c r="AP140" s="42">
        <v>1</v>
      </c>
      <c r="AQ140" s="50">
        <v>27468000</v>
      </c>
      <c r="AR140" s="51">
        <f t="shared" si="17"/>
        <v>27468000</v>
      </c>
      <c r="AW140" s="2" t="s">
        <v>53</v>
      </c>
      <c r="AX140" s="19">
        <v>13513500</v>
      </c>
      <c r="AY140" s="19">
        <f>VLOOKUP(Table5[[#This Row],[สินทรัพย์]],Table1[],19,FALSE)</f>
        <v>1</v>
      </c>
      <c r="AZ140" s="17">
        <f>VLOOKUP(AW140,Table1[[สินทรัพย์อ้างอิง]:[TOTAL PAPER]],18,FALSE)</f>
        <v>4</v>
      </c>
    </row>
    <row r="141" spans="1:52">
      <c r="A141" t="s">
        <v>149</v>
      </c>
      <c r="B141">
        <v>33.36</v>
      </c>
      <c r="C141" s="1"/>
      <c r="F141" s="2" t="s">
        <v>151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f t="shared" si="14"/>
        <v>1</v>
      </c>
      <c r="V141">
        <f t="shared" si="15"/>
        <v>0</v>
      </c>
      <c r="W141">
        <f>SUM(Table1[[#This Row],[FUNDAMENTAL]:[TECHNICAL]])</f>
        <v>1</v>
      </c>
      <c r="X141">
        <v>0</v>
      </c>
      <c r="Y141" s="52">
        <f t="shared" si="16"/>
        <v>206.89</v>
      </c>
      <c r="Z141" s="19">
        <v>9040000</v>
      </c>
      <c r="AO141" t="s">
        <v>424</v>
      </c>
      <c r="AP141" s="42">
        <v>10.7</v>
      </c>
      <c r="AQ141" s="50">
        <v>1479000</v>
      </c>
      <c r="AR141" s="51">
        <f t="shared" si="17"/>
        <v>15825299.999999998</v>
      </c>
      <c r="AW141" s="2" t="s">
        <v>17</v>
      </c>
      <c r="AX141" s="19">
        <v>13452516</v>
      </c>
      <c r="AY141" s="19">
        <f>VLOOKUP(Table5[[#This Row],[สินทรัพย์]],Table1[],19,FALSE)</f>
        <v>0</v>
      </c>
      <c r="AZ141" s="17">
        <f>VLOOKUP(AW141,Table1[[สินทรัพย์อ้างอิง]:[TOTAL PAPER]],18,FALSE)</f>
        <v>2</v>
      </c>
    </row>
    <row r="142" spans="1:52">
      <c r="A142" t="s">
        <v>150</v>
      </c>
      <c r="B142">
        <v>423.51</v>
      </c>
      <c r="C142" s="1" t="s">
        <v>195</v>
      </c>
      <c r="F142" s="2" t="s">
        <v>152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f t="shared" si="14"/>
        <v>2</v>
      </c>
      <c r="V142">
        <f t="shared" si="15"/>
        <v>0</v>
      </c>
      <c r="W142">
        <f>SUM(Table1[[#This Row],[FUNDAMENTAL]:[TECHNICAL]])</f>
        <v>2</v>
      </c>
      <c r="X142">
        <v>1</v>
      </c>
      <c r="Y142" s="52">
        <f t="shared" si="16"/>
        <v>120.09</v>
      </c>
      <c r="Z142" s="19">
        <v>6568799.9999999991</v>
      </c>
      <c r="AO142" t="s">
        <v>425</v>
      </c>
      <c r="AP142" s="42">
        <v>20.5</v>
      </c>
      <c r="AQ142" s="50">
        <v>2360000</v>
      </c>
      <c r="AR142" s="51">
        <f t="shared" si="17"/>
        <v>48380000</v>
      </c>
      <c r="AW142" s="2" t="s">
        <v>175</v>
      </c>
      <c r="AX142" s="19">
        <v>13442900</v>
      </c>
      <c r="AY142" s="19">
        <f>VLOOKUP(Table5[[#This Row],[สินทรัพย์]],Table1[],19,FALSE)</f>
        <v>0</v>
      </c>
      <c r="AZ142" s="17">
        <f>VLOOKUP(AW142,Table1[[สินทรัพย์อ้างอิง]:[TOTAL PAPER]],18,FALSE)</f>
        <v>0</v>
      </c>
    </row>
    <row r="143" spans="1:52">
      <c r="A143" t="s">
        <v>151</v>
      </c>
      <c r="B143">
        <v>206.89</v>
      </c>
      <c r="C143" s="1"/>
      <c r="F143" s="2" t="s">
        <v>153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f t="shared" si="14"/>
        <v>1</v>
      </c>
      <c r="V143">
        <f t="shared" si="15"/>
        <v>1</v>
      </c>
      <c r="W143">
        <f>SUM(Table1[[#This Row],[FUNDAMENTAL]:[TECHNICAL]])</f>
        <v>2</v>
      </c>
      <c r="X143">
        <v>1</v>
      </c>
      <c r="Y143" s="52">
        <f t="shared" si="16"/>
        <v>3928.33</v>
      </c>
      <c r="Z143" s="19">
        <v>423769388</v>
      </c>
      <c r="AO143" t="s">
        <v>426</v>
      </c>
      <c r="AP143" s="42">
        <v>1.83</v>
      </c>
      <c r="AQ143" s="50">
        <v>2817000</v>
      </c>
      <c r="AR143" s="51">
        <f t="shared" si="17"/>
        <v>5155110</v>
      </c>
      <c r="AW143" s="2" t="s">
        <v>48</v>
      </c>
      <c r="AX143" s="19">
        <v>12432000</v>
      </c>
      <c r="AY143" s="19">
        <f>VLOOKUP(Table5[[#This Row],[สินทรัพย์]],Table1[],19,FALSE)</f>
        <v>0</v>
      </c>
      <c r="AZ143" s="17">
        <f>VLOOKUP(AW143,Table1[[สินทรัพย์อ้างอิง]:[TOTAL PAPER]],18,FALSE)</f>
        <v>3</v>
      </c>
    </row>
    <row r="144" spans="1:52">
      <c r="A144" t="s">
        <v>152</v>
      </c>
      <c r="B144">
        <v>120.09</v>
      </c>
      <c r="C144" s="1"/>
      <c r="F144" s="2" t="s">
        <v>154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f t="shared" si="14"/>
        <v>1</v>
      </c>
      <c r="V144">
        <f t="shared" si="15"/>
        <v>2</v>
      </c>
      <c r="W144">
        <f>SUM(Table1[[#This Row],[FUNDAMENTAL]:[TECHNICAL]])</f>
        <v>3</v>
      </c>
      <c r="X144">
        <v>1</v>
      </c>
      <c r="Y144" s="52">
        <f t="shared" si="16"/>
        <v>2435.17</v>
      </c>
      <c r="Z144" s="19">
        <v>28995600</v>
      </c>
      <c r="AO144" t="s">
        <v>427</v>
      </c>
      <c r="AP144" s="42">
        <v>1.92</v>
      </c>
      <c r="AQ144" s="50">
        <v>14420000</v>
      </c>
      <c r="AR144" s="51">
        <f t="shared" si="17"/>
        <v>27686400</v>
      </c>
      <c r="AW144" s="2" t="s">
        <v>43</v>
      </c>
      <c r="AX144" s="19">
        <v>11180000</v>
      </c>
      <c r="AY144" s="19">
        <f>VLOOKUP(Table5[[#This Row],[สินทรัพย์]],Table1[],19,FALSE)</f>
        <v>0</v>
      </c>
      <c r="AZ144" s="17">
        <f>VLOOKUP(AW144,Table1[[สินทรัพย์อ้างอิง]:[TOTAL PAPER]],18,FALSE)</f>
        <v>0</v>
      </c>
    </row>
    <row r="145" spans="1:52">
      <c r="A145" t="s">
        <v>154</v>
      </c>
      <c r="B145">
        <v>2435.17</v>
      </c>
      <c r="C145" s="1"/>
      <c r="F145" s="2" t="s">
        <v>155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f t="shared" si="14"/>
        <v>0</v>
      </c>
      <c r="V145">
        <f t="shared" si="15"/>
        <v>1</v>
      </c>
      <c r="W145">
        <f>SUM(Table1[[#This Row],[FUNDAMENTAL]:[TECHNICAL]])</f>
        <v>1</v>
      </c>
      <c r="X145">
        <v>1</v>
      </c>
      <c r="Y145" s="52">
        <f t="shared" si="16"/>
        <v>368.9</v>
      </c>
      <c r="Z145" s="19">
        <v>26137600</v>
      </c>
      <c r="AO145" t="s">
        <v>218</v>
      </c>
      <c r="AP145" s="42">
        <v>1.79</v>
      </c>
      <c r="AQ145" s="50">
        <v>242900000</v>
      </c>
      <c r="AR145" s="51">
        <f t="shared" si="17"/>
        <v>434791000</v>
      </c>
      <c r="AW145" s="2" t="s">
        <v>106</v>
      </c>
      <c r="AX145" s="19">
        <v>10962000</v>
      </c>
      <c r="AY145" s="19">
        <f>VLOOKUP(Table5[[#This Row],[สินทรัพย์]],Table1[],19,FALSE)</f>
        <v>0</v>
      </c>
      <c r="AZ145" s="17">
        <f>VLOOKUP(AW145,Table1[[สินทรัพย์อ้างอิง]:[TOTAL PAPER]],18,FALSE)</f>
        <v>1</v>
      </c>
    </row>
    <row r="146" spans="1:52">
      <c r="A146" t="s">
        <v>155</v>
      </c>
      <c r="B146">
        <v>368.9</v>
      </c>
      <c r="C146" s="1"/>
      <c r="F146" s="2" t="s">
        <v>156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f t="shared" si="14"/>
        <v>1</v>
      </c>
      <c r="V146">
        <f t="shared" si="15"/>
        <v>2</v>
      </c>
      <c r="W146">
        <f>SUM(Table1[[#This Row],[FUNDAMENTAL]:[TECHNICAL]])</f>
        <v>3</v>
      </c>
      <c r="X146">
        <v>1</v>
      </c>
      <c r="Y146" s="52">
        <f t="shared" si="16"/>
        <v>21.18</v>
      </c>
      <c r="Z146" s="19">
        <v>28222656</v>
      </c>
      <c r="AO146" t="s">
        <v>255</v>
      </c>
      <c r="AP146" s="42">
        <v>17.399999999999999</v>
      </c>
      <c r="AQ146" s="50">
        <v>12667720</v>
      </c>
      <c r="AR146" s="51">
        <f t="shared" si="17"/>
        <v>220418327.99999997</v>
      </c>
      <c r="AW146" s="2" t="s">
        <v>42</v>
      </c>
      <c r="AX146" s="19">
        <v>10950000</v>
      </c>
      <c r="AY146" s="19">
        <f>VLOOKUP(Table5[[#This Row],[สินทรัพย์]],Table1[],19,FALSE)</f>
        <v>0</v>
      </c>
      <c r="AZ146" s="17">
        <f>VLOOKUP(AW146,Table1[[สินทรัพย์อ้างอิง]:[TOTAL PAPER]],18,FALSE)</f>
        <v>0</v>
      </c>
    </row>
    <row r="147" spans="1:52">
      <c r="A147" t="s">
        <v>156</v>
      </c>
      <c r="B147">
        <v>21.18</v>
      </c>
      <c r="C147" s="1" t="s">
        <v>196</v>
      </c>
      <c r="F147" s="2" t="s">
        <v>157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f t="shared" si="14"/>
        <v>0</v>
      </c>
      <c r="V147">
        <f t="shared" si="15"/>
        <v>1</v>
      </c>
      <c r="W147">
        <f>SUM(Table1[[#This Row],[FUNDAMENTAL]:[TECHNICAL]])</f>
        <v>1</v>
      </c>
      <c r="X147">
        <v>0</v>
      </c>
      <c r="Y147" s="52">
        <f t="shared" si="16"/>
        <v>594.55999999999995</v>
      </c>
      <c r="Z147" s="19">
        <v>50528125</v>
      </c>
      <c r="AO147" t="s">
        <v>278</v>
      </c>
      <c r="AP147" s="42">
        <v>3.96</v>
      </c>
      <c r="AQ147" s="50">
        <v>3792000</v>
      </c>
      <c r="AR147" s="51">
        <f t="shared" si="17"/>
        <v>15016320</v>
      </c>
      <c r="AW147" s="2" t="s">
        <v>73</v>
      </c>
      <c r="AX147" s="19">
        <v>10827300</v>
      </c>
      <c r="AY147" s="19">
        <f>VLOOKUP(Table5[[#This Row],[สินทรัพย์]],Table1[],19,FALSE)</f>
        <v>1</v>
      </c>
      <c r="AZ147" s="17">
        <f>VLOOKUP(AW147,Table1[[สินทรัพย์อ้างอิง]:[TOTAL PAPER]],18,FALSE)</f>
        <v>1</v>
      </c>
    </row>
    <row r="148" spans="1:52">
      <c r="A148" t="s">
        <v>160</v>
      </c>
      <c r="B148">
        <v>440.83</v>
      </c>
      <c r="C148" s="1" t="s">
        <v>197</v>
      </c>
      <c r="F148" s="2" t="s">
        <v>158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f t="shared" si="14"/>
        <v>0</v>
      </c>
      <c r="V148">
        <f t="shared" si="15"/>
        <v>1</v>
      </c>
      <c r="W148">
        <f>SUM(Table1[[#This Row],[FUNDAMENTAL]:[TECHNICAL]])</f>
        <v>1</v>
      </c>
      <c r="X148">
        <v>0</v>
      </c>
      <c r="Y148" s="52">
        <f t="shared" si="16"/>
        <v>38.71</v>
      </c>
      <c r="Z148" s="19">
        <v>33058100</v>
      </c>
      <c r="AO148" t="s">
        <v>274</v>
      </c>
      <c r="AP148" s="42">
        <v>3.98</v>
      </c>
      <c r="AQ148" s="50">
        <v>32500000</v>
      </c>
      <c r="AR148" s="51">
        <f t="shared" si="17"/>
        <v>129350000</v>
      </c>
      <c r="AW148" s="2" t="s">
        <v>85</v>
      </c>
      <c r="AX148" s="19">
        <v>10266400</v>
      </c>
      <c r="AY148" s="19">
        <f>VLOOKUP(Table5[[#This Row],[สินทรัพย์]],Table1[],19,FALSE)</f>
        <v>0</v>
      </c>
      <c r="AZ148" s="17">
        <f>VLOOKUP(AW148,Table1[[สินทรัพย์อ้างอิง]:[TOTAL PAPER]],18,FALSE)</f>
        <v>0</v>
      </c>
    </row>
    <row r="149" spans="1:52">
      <c r="A149" t="s">
        <v>161</v>
      </c>
      <c r="B149">
        <v>6542.15</v>
      </c>
      <c r="C149" s="1"/>
      <c r="F149" s="2" t="s">
        <v>159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f t="shared" si="14"/>
        <v>1</v>
      </c>
      <c r="V149">
        <f t="shared" si="15"/>
        <v>1</v>
      </c>
      <c r="W149">
        <f>SUM(Table1[[#This Row],[FUNDAMENTAL]:[TECHNICAL]])</f>
        <v>2</v>
      </c>
      <c r="X149">
        <v>0</v>
      </c>
      <c r="Y149" s="52">
        <f t="shared" si="16"/>
        <v>123.14</v>
      </c>
      <c r="Z149" s="19">
        <v>24698500</v>
      </c>
      <c r="AO149" t="s">
        <v>263</v>
      </c>
      <c r="AP149" s="42">
        <v>23.7</v>
      </c>
      <c r="AQ149" s="50">
        <v>974500</v>
      </c>
      <c r="AR149" s="51">
        <f t="shared" si="17"/>
        <v>23095650</v>
      </c>
      <c r="AW149" s="2" t="s">
        <v>56</v>
      </c>
      <c r="AX149" s="19">
        <v>9856000.0000000019</v>
      </c>
      <c r="AY149" s="19">
        <f>VLOOKUP(Table5[[#This Row],[สินทรัพย์]],Table1[],19,FALSE)</f>
        <v>1</v>
      </c>
      <c r="AZ149" s="17">
        <f>VLOOKUP(AW149,Table1[[สินทรัพย์อ้างอิง]:[TOTAL PAPER]],18,FALSE)</f>
        <v>1</v>
      </c>
    </row>
    <row r="150" spans="1:52">
      <c r="A150" t="s">
        <v>162</v>
      </c>
      <c r="B150">
        <v>913.55</v>
      </c>
      <c r="C150" s="1"/>
      <c r="F150" s="2" t="s">
        <v>160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f t="shared" si="14"/>
        <v>0</v>
      </c>
      <c r="V150">
        <f t="shared" si="15"/>
        <v>1</v>
      </c>
      <c r="W150">
        <f>SUM(Table1[[#This Row],[FUNDAMENTAL]:[TECHNICAL]])</f>
        <v>1</v>
      </c>
      <c r="X150">
        <v>0</v>
      </c>
      <c r="Y150" s="52">
        <f t="shared" si="16"/>
        <v>440.83</v>
      </c>
      <c r="Z150" s="19">
        <v>9560800</v>
      </c>
      <c r="AO150" t="s">
        <v>242</v>
      </c>
      <c r="AP150" s="42">
        <v>29.75</v>
      </c>
      <c r="AQ150" s="50">
        <v>58258600</v>
      </c>
      <c r="AR150" s="51">
        <f t="shared" si="17"/>
        <v>1733193350</v>
      </c>
      <c r="AW150" s="2" t="s">
        <v>160</v>
      </c>
      <c r="AX150" s="19">
        <v>9560800</v>
      </c>
      <c r="AY150" s="19">
        <f>VLOOKUP(Table5[[#This Row],[สินทรัพย์]],Table1[],19,FALSE)</f>
        <v>0</v>
      </c>
      <c r="AZ150" s="17">
        <f>VLOOKUP(AW150,Table1[[สินทรัพย์อ้างอิง]:[TOTAL PAPER]],18,FALSE)</f>
        <v>1</v>
      </c>
    </row>
    <row r="151" spans="1:52">
      <c r="A151" t="s">
        <v>163</v>
      </c>
      <c r="B151">
        <v>559.96</v>
      </c>
      <c r="C151" s="1" t="s">
        <v>198</v>
      </c>
      <c r="F151" s="2" t="s">
        <v>161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f t="shared" si="14"/>
        <v>3</v>
      </c>
      <c r="V151">
        <f t="shared" si="15"/>
        <v>3</v>
      </c>
      <c r="W151">
        <f>SUM(Table1[[#This Row],[FUNDAMENTAL]:[TECHNICAL]])</f>
        <v>6</v>
      </c>
      <c r="X151">
        <v>3</v>
      </c>
      <c r="Y151" s="52">
        <f t="shared" si="16"/>
        <v>6542.15</v>
      </c>
      <c r="Z151" s="19">
        <v>1504947440</v>
      </c>
      <c r="AO151" t="s">
        <v>428</v>
      </c>
      <c r="AP151" s="42">
        <v>1.82</v>
      </c>
      <c r="AQ151" s="50">
        <v>21160000</v>
      </c>
      <c r="AR151" s="51">
        <f t="shared" si="17"/>
        <v>38511200</v>
      </c>
      <c r="AW151" s="2" t="s">
        <v>91</v>
      </c>
      <c r="AX151" s="19">
        <v>9516000</v>
      </c>
      <c r="AY151" s="19">
        <f>VLOOKUP(Table5[[#This Row],[สินทรัพย์]],Table1[],19,FALSE)</f>
        <v>0</v>
      </c>
      <c r="AZ151" s="17">
        <f>VLOOKUP(AW151,Table1[[สินทรัพย์อ้างอิง]:[TOTAL PAPER]],18,FALSE)</f>
        <v>0</v>
      </c>
    </row>
    <row r="152" spans="1:52">
      <c r="A152" t="s">
        <v>164</v>
      </c>
      <c r="B152">
        <v>216.69</v>
      </c>
      <c r="C152" s="1"/>
      <c r="F152" s="2" t="s">
        <v>162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f t="shared" si="14"/>
        <v>0</v>
      </c>
      <c r="V152">
        <f t="shared" si="15"/>
        <v>1</v>
      </c>
      <c r="W152">
        <f>SUM(Table1[[#This Row],[FUNDAMENTAL]:[TECHNICAL]])</f>
        <v>1</v>
      </c>
      <c r="X152">
        <v>0</v>
      </c>
      <c r="Y152" s="52">
        <f t="shared" si="16"/>
        <v>913.55</v>
      </c>
      <c r="Z152" s="19">
        <v>67451960</v>
      </c>
      <c r="AO152" t="s">
        <v>238</v>
      </c>
      <c r="AP152" s="42">
        <v>3.06</v>
      </c>
      <c r="AQ152" s="50">
        <v>2585000</v>
      </c>
      <c r="AR152" s="51">
        <f t="shared" si="17"/>
        <v>7910100</v>
      </c>
      <c r="AW152" s="2" t="s">
        <v>93</v>
      </c>
      <c r="AX152" s="19">
        <v>9497500</v>
      </c>
      <c r="AY152" s="19">
        <f>VLOOKUP(Table5[[#This Row],[สินทรัพย์]],Table1[],19,FALSE)</f>
        <v>1</v>
      </c>
      <c r="AZ152" s="17">
        <f>VLOOKUP(AW152,Table1[[สินทรัพย์อ้างอิง]:[TOTAL PAPER]],18,FALSE)</f>
        <v>3</v>
      </c>
    </row>
    <row r="153" spans="1:52">
      <c r="A153" t="s">
        <v>66</v>
      </c>
      <c r="B153">
        <v>660.42</v>
      </c>
      <c r="C153" s="1"/>
      <c r="F153" s="2" t="s">
        <v>163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f t="shared" si="14"/>
        <v>0</v>
      </c>
      <c r="V153">
        <f t="shared" si="15"/>
        <v>0</v>
      </c>
      <c r="W153">
        <f>SUM(Table1[[#This Row],[FUNDAMENTAL]:[TECHNICAL]])</f>
        <v>0</v>
      </c>
      <c r="X153">
        <v>0</v>
      </c>
      <c r="Y153" s="52">
        <f t="shared" si="16"/>
        <v>559.96</v>
      </c>
      <c r="Z153" s="19">
        <v>3674000</v>
      </c>
      <c r="AO153" t="s">
        <v>267</v>
      </c>
      <c r="AP153" s="42">
        <v>2.44</v>
      </c>
      <c r="AQ153" s="50">
        <v>40000000</v>
      </c>
      <c r="AR153" s="51">
        <f t="shared" si="17"/>
        <v>97600000</v>
      </c>
      <c r="AW153" s="2" t="s">
        <v>70</v>
      </c>
      <c r="AX153" s="19">
        <v>9086000</v>
      </c>
      <c r="AY153" s="19">
        <f>VLOOKUP(Table5[[#This Row],[สินทรัพย์]],Table1[],19,FALSE)</f>
        <v>0</v>
      </c>
      <c r="AZ153" s="17">
        <f>VLOOKUP(AW153,Table1[[สินทรัพย์อ้างอิง]:[TOTAL PAPER]],18,FALSE)</f>
        <v>1</v>
      </c>
    </row>
    <row r="154" spans="1:52">
      <c r="A154" t="s">
        <v>165</v>
      </c>
      <c r="B154">
        <v>2996.7</v>
      </c>
      <c r="C154" s="1"/>
      <c r="F154" s="2" t="s">
        <v>164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f t="shared" si="14"/>
        <v>3</v>
      </c>
      <c r="V154">
        <f t="shared" si="15"/>
        <v>1</v>
      </c>
      <c r="W154">
        <f>SUM(Table1[[#This Row],[FUNDAMENTAL]:[TECHNICAL]])</f>
        <v>4</v>
      </c>
      <c r="X154">
        <v>1</v>
      </c>
      <c r="Y154" s="52">
        <f t="shared" si="16"/>
        <v>216.69</v>
      </c>
      <c r="Z154" s="19">
        <v>29925000</v>
      </c>
      <c r="AO154" t="s">
        <v>240</v>
      </c>
      <c r="AP154" s="42">
        <v>6.05</v>
      </c>
      <c r="AQ154" s="50">
        <v>14563000</v>
      </c>
      <c r="AR154" s="51">
        <f t="shared" si="17"/>
        <v>88106150</v>
      </c>
      <c r="AW154" s="2" t="s">
        <v>151</v>
      </c>
      <c r="AX154" s="19">
        <v>9040000</v>
      </c>
      <c r="AY154" s="19">
        <f>VLOOKUP(Table5[[#This Row],[สินทรัพย์]],Table1[],19,FALSE)</f>
        <v>0</v>
      </c>
      <c r="AZ154" s="17">
        <f>VLOOKUP(AW154,Table1[[สินทรัพย์อ้างอิง]:[TOTAL PAPER]],18,FALSE)</f>
        <v>1</v>
      </c>
    </row>
    <row r="155" spans="1:52">
      <c r="A155" t="s">
        <v>166</v>
      </c>
      <c r="B155">
        <v>31948.6</v>
      </c>
      <c r="C155" s="1"/>
      <c r="F155" s="2" t="s">
        <v>165</v>
      </c>
      <c r="G155">
        <v>1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f t="shared" si="14"/>
        <v>2</v>
      </c>
      <c r="V155">
        <f t="shared" si="15"/>
        <v>2</v>
      </c>
      <c r="W155">
        <f>SUM(Table1[[#This Row],[FUNDAMENTAL]:[TECHNICAL]])</f>
        <v>4</v>
      </c>
      <c r="X155">
        <v>2</v>
      </c>
      <c r="Y155" s="52">
        <f t="shared" si="16"/>
        <v>2996.7</v>
      </c>
      <c r="Z155" s="19">
        <v>571796000</v>
      </c>
      <c r="AO155" t="s">
        <v>241</v>
      </c>
      <c r="AP155" s="42">
        <v>6.1</v>
      </c>
      <c r="AQ155" s="50">
        <v>7896000</v>
      </c>
      <c r="AR155" s="51">
        <f t="shared" si="17"/>
        <v>48165600</v>
      </c>
      <c r="AW155" s="2" t="s">
        <v>182</v>
      </c>
      <c r="AX155" s="19">
        <v>8875400</v>
      </c>
      <c r="AY155" s="19">
        <f>VLOOKUP(Table5[[#This Row],[สินทรัพย์]],Table1[],19,FALSE)</f>
        <v>0</v>
      </c>
      <c r="AZ155" s="17">
        <f>VLOOKUP(AW155,Table1[[สินทรัพย์อ้างอิง]:[TOTAL PAPER]],18,FALSE)</f>
        <v>1</v>
      </c>
    </row>
    <row r="156" spans="1:52">
      <c r="A156" t="s">
        <v>167</v>
      </c>
      <c r="B156">
        <v>1016.06</v>
      </c>
      <c r="C156" s="1"/>
      <c r="F156" s="2" t="s">
        <v>166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f t="shared" si="14"/>
        <v>4</v>
      </c>
      <c r="V156">
        <f t="shared" si="15"/>
        <v>0</v>
      </c>
      <c r="W156">
        <f>SUM(Table1[[#This Row],[FUNDAMENTAL]:[TECHNICAL]])</f>
        <v>4</v>
      </c>
      <c r="X156">
        <v>2</v>
      </c>
      <c r="Y156" s="52">
        <f t="shared" si="16"/>
        <v>31948.6</v>
      </c>
      <c r="Z156" s="19">
        <v>1934343200</v>
      </c>
      <c r="AO156" t="s">
        <v>226</v>
      </c>
      <c r="AP156" s="42">
        <v>0.87</v>
      </c>
      <c r="AQ156" s="50">
        <v>42685000</v>
      </c>
      <c r="AR156" s="51">
        <f t="shared" si="17"/>
        <v>37135950</v>
      </c>
      <c r="AW156" s="2" t="s">
        <v>134</v>
      </c>
      <c r="AX156" s="19">
        <v>8640060</v>
      </c>
      <c r="AY156" s="19">
        <f>VLOOKUP(Table5[[#This Row],[สินทรัพย์]],Table1[],19,FALSE)</f>
        <v>1</v>
      </c>
      <c r="AZ156" s="17">
        <f>VLOOKUP(AW156,Table1[[สินทรัพย์อ้างอิง]:[TOTAL PAPER]],18,FALSE)</f>
        <v>2</v>
      </c>
    </row>
    <row r="157" spans="1:52">
      <c r="A157" t="s">
        <v>168</v>
      </c>
      <c r="B157">
        <v>4405.24</v>
      </c>
      <c r="C157" s="1"/>
      <c r="F157" s="2" t="s">
        <v>167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f t="shared" si="14"/>
        <v>0</v>
      </c>
      <c r="V157">
        <f t="shared" si="15"/>
        <v>0</v>
      </c>
      <c r="W157">
        <f>SUM(Table1[[#This Row],[FUNDAMENTAL]:[TECHNICAL]])</f>
        <v>0</v>
      </c>
      <c r="X157">
        <v>0</v>
      </c>
      <c r="Y157" s="52">
        <f t="shared" si="16"/>
        <v>1016.06</v>
      </c>
      <c r="Z157" s="19">
        <v>76160000</v>
      </c>
      <c r="AO157" t="s">
        <v>429</v>
      </c>
      <c r="AP157" s="42">
        <v>3.2</v>
      </c>
      <c r="AQ157" s="50">
        <v>2540000</v>
      </c>
      <c r="AR157" s="51">
        <f t="shared" si="17"/>
        <v>8128000</v>
      </c>
      <c r="AW157" s="2" t="s">
        <v>103</v>
      </c>
      <c r="AX157" s="19">
        <v>8400000</v>
      </c>
      <c r="AY157" s="19">
        <f>VLOOKUP(Table5[[#This Row],[สินทรัพย์]],Table1[],19,FALSE)</f>
        <v>0</v>
      </c>
      <c r="AZ157" s="17">
        <f>VLOOKUP(AW157,Table1[[สินทรัพย์อ้างอิง]:[TOTAL PAPER]],18,FALSE)</f>
        <v>0</v>
      </c>
    </row>
    <row r="158" spans="1:52">
      <c r="A158" t="s">
        <v>169</v>
      </c>
      <c r="B158">
        <v>3924.04</v>
      </c>
      <c r="C158" s="1"/>
      <c r="F158" s="2" t="s">
        <v>168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f t="shared" si="14"/>
        <v>0</v>
      </c>
      <c r="V158">
        <f t="shared" si="15"/>
        <v>2</v>
      </c>
      <c r="W158">
        <f>SUM(Table1[[#This Row],[FUNDAMENTAL]:[TECHNICAL]])</f>
        <v>2</v>
      </c>
      <c r="X158">
        <v>0</v>
      </c>
      <c r="Y158" s="52">
        <f t="shared" si="16"/>
        <v>4405.24</v>
      </c>
      <c r="Z158" s="19">
        <v>128917800</v>
      </c>
      <c r="AO158" t="s">
        <v>251</v>
      </c>
      <c r="AP158" s="42">
        <v>15.9</v>
      </c>
      <c r="AQ158" s="50">
        <v>5122950</v>
      </c>
      <c r="AR158" s="51">
        <f t="shared" si="17"/>
        <v>81454905</v>
      </c>
      <c r="AW158" s="2" t="s">
        <v>124</v>
      </c>
      <c r="AX158" s="19">
        <v>8128000</v>
      </c>
      <c r="AY158" s="19">
        <f>VLOOKUP(Table5[[#This Row],[สินทรัพย์]],Table1[],19,FALSE)</f>
        <v>0</v>
      </c>
      <c r="AZ158" s="17">
        <f>VLOOKUP(AW158,Table1[[สินทรัพย์อ้างอิง]:[TOTAL PAPER]],18,FALSE)</f>
        <v>1</v>
      </c>
    </row>
    <row r="159" spans="1:52">
      <c r="A159" t="s">
        <v>170</v>
      </c>
      <c r="B159">
        <v>653.79</v>
      </c>
      <c r="C159" s="1"/>
      <c r="F159" s="2" t="s">
        <v>169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f t="shared" si="14"/>
        <v>1</v>
      </c>
      <c r="V159">
        <f t="shared" si="15"/>
        <v>1</v>
      </c>
      <c r="W159">
        <f>SUM(Table1[[#This Row],[FUNDAMENTAL]:[TECHNICAL]])</f>
        <v>2</v>
      </c>
      <c r="X159">
        <v>0</v>
      </c>
      <c r="Y159" s="52">
        <f t="shared" si="16"/>
        <v>3924.04</v>
      </c>
      <c r="Z159" s="19">
        <v>54561600</v>
      </c>
      <c r="AO159" t="s">
        <v>430</v>
      </c>
      <c r="AP159" s="42">
        <v>6.5</v>
      </c>
      <c r="AQ159" s="50">
        <v>3124000</v>
      </c>
      <c r="AR159" s="51">
        <f t="shared" si="17"/>
        <v>20306000</v>
      </c>
      <c r="AW159" s="2" t="s">
        <v>120</v>
      </c>
      <c r="AX159" s="19">
        <v>7910100</v>
      </c>
      <c r="AY159" s="19">
        <f>VLOOKUP(Table5[[#This Row],[สินทรัพย์]],Table1[],19,FALSE)</f>
        <v>0</v>
      </c>
      <c r="AZ159" s="17">
        <f>VLOOKUP(AW159,Table1[[สินทรัพย์อ้างอิง]:[TOTAL PAPER]],18,FALSE)</f>
        <v>0</v>
      </c>
    </row>
    <row r="160" spans="1:52">
      <c r="A160" t="s">
        <v>171</v>
      </c>
      <c r="B160">
        <v>369.29</v>
      </c>
      <c r="C160" s="1"/>
      <c r="F160" s="2" t="s">
        <v>170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f t="shared" si="14"/>
        <v>1</v>
      </c>
      <c r="V160">
        <f t="shared" si="15"/>
        <v>2</v>
      </c>
      <c r="W160">
        <f>SUM(Table1[[#This Row],[FUNDAMENTAL]:[TECHNICAL]])</f>
        <v>3</v>
      </c>
      <c r="X160">
        <v>1</v>
      </c>
      <c r="Y160" s="52">
        <f t="shared" si="16"/>
        <v>653.79</v>
      </c>
      <c r="Z160" s="19">
        <v>25990000</v>
      </c>
      <c r="AO160" t="s">
        <v>431</v>
      </c>
      <c r="AP160" s="42">
        <v>2.82</v>
      </c>
      <c r="AQ160" s="50">
        <v>620900000</v>
      </c>
      <c r="AR160" s="51">
        <f t="shared" si="17"/>
        <v>1750938000</v>
      </c>
      <c r="AW160" s="2" t="s">
        <v>27</v>
      </c>
      <c r="AX160" s="19">
        <v>7420000</v>
      </c>
      <c r="AY160" s="19">
        <f>VLOOKUP(Table5[[#This Row],[สินทรัพย์]],Table1[],19,FALSE)</f>
        <v>0</v>
      </c>
      <c r="AZ160" s="17">
        <f>VLOOKUP(AW160,Table1[[สินทรัพย์อ้างอิง]:[TOTAL PAPER]],18,FALSE)</f>
        <v>0</v>
      </c>
    </row>
    <row r="161" spans="1:52">
      <c r="A161" t="s">
        <v>172</v>
      </c>
      <c r="B161">
        <v>147.41999999999999</v>
      </c>
      <c r="C161" s="1"/>
      <c r="F161" s="2" t="s">
        <v>171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f t="shared" si="14"/>
        <v>1</v>
      </c>
      <c r="V161">
        <f t="shared" si="15"/>
        <v>3</v>
      </c>
      <c r="W161">
        <f>SUM(Table1[[#This Row],[FUNDAMENTAL]:[TECHNICAL]])</f>
        <v>4</v>
      </c>
      <c r="X161">
        <v>1</v>
      </c>
      <c r="Y161" s="52">
        <f t="shared" si="16"/>
        <v>369.29</v>
      </c>
      <c r="Z161" s="19">
        <v>37928000</v>
      </c>
      <c r="AO161" t="s">
        <v>235</v>
      </c>
      <c r="AP161" s="42">
        <v>3.84</v>
      </c>
      <c r="AQ161" s="50">
        <v>3160500</v>
      </c>
      <c r="AR161" s="51">
        <f t="shared" si="17"/>
        <v>12136320</v>
      </c>
      <c r="AW161" s="2" t="s">
        <v>136</v>
      </c>
      <c r="AX161" s="19">
        <v>6933600</v>
      </c>
      <c r="AY161" s="19">
        <f>VLOOKUP(Table5[[#This Row],[สินทรัพย์]],Table1[],19,FALSE)</f>
        <v>0</v>
      </c>
      <c r="AZ161" s="17">
        <f>VLOOKUP(AW161,Table1[[สินทรัพย์อ้างอิง]:[TOTAL PAPER]],18,FALSE)</f>
        <v>0</v>
      </c>
    </row>
    <row r="162" spans="1:52">
      <c r="A162" t="s">
        <v>173</v>
      </c>
      <c r="B162">
        <v>1132.74</v>
      </c>
      <c r="C162" s="1"/>
      <c r="F162" s="2" t="s">
        <v>172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f t="shared" si="14"/>
        <v>0</v>
      </c>
      <c r="V162">
        <f t="shared" si="15"/>
        <v>0</v>
      </c>
      <c r="W162">
        <f>SUM(Table1[[#This Row],[FUNDAMENTAL]:[TECHNICAL]])</f>
        <v>0</v>
      </c>
      <c r="X162">
        <v>0</v>
      </c>
      <c r="Y162" s="52">
        <f t="shared" si="16"/>
        <v>147.41999999999999</v>
      </c>
      <c r="Z162" s="19">
        <v>25300000</v>
      </c>
      <c r="AO162" t="s">
        <v>224</v>
      </c>
      <c r="AP162" s="42">
        <v>3.84</v>
      </c>
      <c r="AQ162" s="50">
        <v>34500000</v>
      </c>
      <c r="AR162" s="51">
        <f t="shared" si="17"/>
        <v>132480000</v>
      </c>
      <c r="AW162" s="2" t="s">
        <v>135</v>
      </c>
      <c r="AX162" s="19">
        <v>6889776</v>
      </c>
      <c r="AY162" s="19">
        <f>VLOOKUP(Table5[[#This Row],[สินทรัพย์]],Table1[],19,FALSE)</f>
        <v>1</v>
      </c>
      <c r="AZ162" s="17">
        <f>VLOOKUP(AW162,Table1[[สินทรัพย์อ้างอิง]:[TOTAL PAPER]],18,FALSE)</f>
        <v>1</v>
      </c>
    </row>
    <row r="163" spans="1:52">
      <c r="A163" t="s">
        <v>174</v>
      </c>
      <c r="B163">
        <v>10</v>
      </c>
      <c r="C163" s="1"/>
      <c r="F163" s="2" t="s">
        <v>173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f t="shared" si="14"/>
        <v>1</v>
      </c>
      <c r="V163">
        <f t="shared" si="15"/>
        <v>1</v>
      </c>
      <c r="W163">
        <f>SUM(Table1[[#This Row],[FUNDAMENTAL]:[TECHNICAL]])</f>
        <v>2</v>
      </c>
      <c r="X163">
        <v>0</v>
      </c>
      <c r="Y163" s="52">
        <f t="shared" si="16"/>
        <v>1132.74</v>
      </c>
      <c r="Z163" s="19">
        <v>58751350.5</v>
      </c>
      <c r="AO163" t="s">
        <v>432</v>
      </c>
      <c r="AP163" s="42">
        <v>1.92</v>
      </c>
      <c r="AQ163" s="50">
        <v>2048000</v>
      </c>
      <c r="AR163" s="51">
        <f t="shared" si="17"/>
        <v>3932160</v>
      </c>
      <c r="AW163" s="2" t="s">
        <v>132</v>
      </c>
      <c r="AX163" s="19">
        <v>6615040</v>
      </c>
      <c r="AY163" s="19">
        <f>VLOOKUP(Table5[[#This Row],[สินทรัพย์]],Table1[],19,FALSE)</f>
        <v>1</v>
      </c>
      <c r="AZ163" s="17">
        <f>VLOOKUP(AW163,Table1[[สินทรัพย์อ้างอิง]:[TOTAL PAPER]],18,FALSE)</f>
        <v>0</v>
      </c>
    </row>
    <row r="164" spans="1:52">
      <c r="A164" t="s">
        <v>175</v>
      </c>
      <c r="B164">
        <v>1060.1500000000001</v>
      </c>
      <c r="C164" s="1"/>
      <c r="F164" s="2" t="s">
        <v>174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f t="shared" ref="U164:U173" si="18">SUM(G164:H164,K164:Q164,S164)</f>
        <v>0</v>
      </c>
      <c r="V164">
        <f t="shared" ref="V164:V173" si="19">SUM(J164,R164,T164)</f>
        <v>1</v>
      </c>
      <c r="W164">
        <f>SUM(Table1[[#This Row],[FUNDAMENTAL]:[TECHNICAL]])</f>
        <v>1</v>
      </c>
      <c r="X164">
        <v>0</v>
      </c>
      <c r="Y164" s="52">
        <f t="shared" ref="Y164:Y173" si="20">VLOOKUP(F164,$A$3:$B$174,2,FALSE)</f>
        <v>10</v>
      </c>
      <c r="Z164" s="19">
        <v>33033000</v>
      </c>
      <c r="AO164" t="s">
        <v>433</v>
      </c>
      <c r="AP164" s="42">
        <v>7.9</v>
      </c>
      <c r="AQ164" s="50">
        <v>44880000</v>
      </c>
      <c r="AR164" s="51">
        <f t="shared" si="17"/>
        <v>354552000</v>
      </c>
      <c r="AW164" s="2" t="s">
        <v>152</v>
      </c>
      <c r="AX164" s="19">
        <v>6568799.9999999991</v>
      </c>
      <c r="AY164" s="19">
        <f>VLOOKUP(Table5[[#This Row],[สินทรัพย์]],Table1[],19,FALSE)</f>
        <v>1</v>
      </c>
      <c r="AZ164" s="17">
        <f>VLOOKUP(AW164,Table1[[สินทรัพย์อ้างอิง]:[TOTAL PAPER]],18,FALSE)</f>
        <v>2</v>
      </c>
    </row>
    <row r="165" spans="1:52">
      <c r="A165" t="s">
        <v>176</v>
      </c>
      <c r="B165">
        <v>370.95</v>
      </c>
      <c r="C165" s="1" t="s">
        <v>177</v>
      </c>
      <c r="F165" s="2" t="s">
        <v>175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f t="shared" si="18"/>
        <v>0</v>
      </c>
      <c r="V165">
        <f t="shared" si="19"/>
        <v>0</v>
      </c>
      <c r="W165">
        <f>SUM(Table1[[#This Row],[FUNDAMENTAL]:[TECHNICAL]])</f>
        <v>0</v>
      </c>
      <c r="X165">
        <v>0</v>
      </c>
      <c r="Y165" s="52">
        <f t="shared" si="20"/>
        <v>1060.1500000000001</v>
      </c>
      <c r="Z165" s="19">
        <v>13442900</v>
      </c>
      <c r="AO165" t="s">
        <v>256</v>
      </c>
      <c r="AP165" s="42">
        <v>16.100000000000001</v>
      </c>
      <c r="AQ165" s="50">
        <v>63224000</v>
      </c>
      <c r="AR165" s="51">
        <f t="shared" si="17"/>
        <v>1017906400.0000001</v>
      </c>
      <c r="AW165" s="2" t="s">
        <v>150</v>
      </c>
      <c r="AX165" s="19">
        <v>6350000</v>
      </c>
      <c r="AY165" s="19">
        <f>VLOOKUP(Table5[[#This Row],[สินทรัพย์]],Table1[],19,FALSE)</f>
        <v>1</v>
      </c>
      <c r="AZ165" s="17">
        <f>VLOOKUP(AW165,Table1[[สินทรัพย์อ้างอิง]:[TOTAL PAPER]],18,FALSE)</f>
        <v>3</v>
      </c>
    </row>
    <row r="166" spans="1:52">
      <c r="A166" t="s">
        <v>178</v>
      </c>
      <c r="B166">
        <v>2.12</v>
      </c>
      <c r="F166" s="2" t="s">
        <v>176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1</v>
      </c>
      <c r="U166">
        <f t="shared" si="18"/>
        <v>4</v>
      </c>
      <c r="V166">
        <f t="shared" si="19"/>
        <v>2</v>
      </c>
      <c r="W166">
        <f>SUM(Table1[[#This Row],[FUNDAMENTAL]:[TECHNICAL]])</f>
        <v>6</v>
      </c>
      <c r="X166">
        <v>1</v>
      </c>
      <c r="Y166" s="52">
        <f t="shared" si="20"/>
        <v>370.95</v>
      </c>
      <c r="Z166" s="19">
        <v>151446400</v>
      </c>
      <c r="AO166" t="s">
        <v>237</v>
      </c>
      <c r="AP166" s="42">
        <v>2.04</v>
      </c>
      <c r="AQ166" s="50">
        <v>11000000</v>
      </c>
      <c r="AR166" s="51">
        <f t="shared" si="17"/>
        <v>22440000</v>
      </c>
      <c r="AW166" s="2" t="s">
        <v>148</v>
      </c>
      <c r="AX166" s="19">
        <v>6134400</v>
      </c>
      <c r="AY166" s="19">
        <f>VLOOKUP(Table5[[#This Row],[สินทรัพย์]],Table1[],19,FALSE)</f>
        <v>1</v>
      </c>
      <c r="AZ166" s="17">
        <f>VLOOKUP(AW166,Table1[[สินทรัพย์อ้างอิง]:[TOTAL PAPER]],18,FALSE)</f>
        <v>2</v>
      </c>
    </row>
    <row r="167" spans="1:52">
      <c r="A167" t="s">
        <v>179</v>
      </c>
      <c r="B167">
        <v>1054.26</v>
      </c>
      <c r="F167" s="2" t="s">
        <v>178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f t="shared" si="18"/>
        <v>0</v>
      </c>
      <c r="V167">
        <f t="shared" si="19"/>
        <v>0</v>
      </c>
      <c r="W167">
        <f>SUM(Table1[[#This Row],[FUNDAMENTAL]:[TECHNICAL]])</f>
        <v>0</v>
      </c>
      <c r="X167">
        <v>0</v>
      </c>
      <c r="Y167" s="52">
        <f t="shared" si="20"/>
        <v>2.12</v>
      </c>
      <c r="Z167" s="19">
        <v>23749000</v>
      </c>
      <c r="AO167" t="s">
        <v>294</v>
      </c>
      <c r="AP167" s="42">
        <v>3.04</v>
      </c>
      <c r="AQ167" s="50">
        <v>6600000</v>
      </c>
      <c r="AR167" s="51">
        <f t="shared" si="17"/>
        <v>20064000</v>
      </c>
      <c r="AW167" s="2" t="s">
        <v>88</v>
      </c>
      <c r="AX167" s="19">
        <v>4920720</v>
      </c>
      <c r="AY167" s="19">
        <f>VLOOKUP(Table5[[#This Row],[สินทรัพย์]],Table1[],19,FALSE)</f>
        <v>1</v>
      </c>
      <c r="AZ167" s="17">
        <f>VLOOKUP(AW167,Table1[[สินทรัพย์อ้างอิง]:[TOTAL PAPER]],18,FALSE)</f>
        <v>1</v>
      </c>
    </row>
    <row r="168" spans="1:52">
      <c r="A168" t="s">
        <v>181</v>
      </c>
      <c r="B168">
        <v>1168.06</v>
      </c>
      <c r="F168" s="2" t="s">
        <v>179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f t="shared" si="18"/>
        <v>1</v>
      </c>
      <c r="V168">
        <f t="shared" si="19"/>
        <v>3</v>
      </c>
      <c r="W168">
        <f>SUM(Table1[[#This Row],[FUNDAMENTAL]:[TECHNICAL]])</f>
        <v>4</v>
      </c>
      <c r="X168">
        <v>1</v>
      </c>
      <c r="Y168" s="52">
        <f t="shared" si="20"/>
        <v>1054.26</v>
      </c>
      <c r="Z168" s="19">
        <v>84110750</v>
      </c>
      <c r="AO168" t="s">
        <v>434</v>
      </c>
      <c r="AP168" s="42">
        <v>1.52</v>
      </c>
      <c r="AQ168" s="50">
        <v>4352000</v>
      </c>
      <c r="AR168" s="51">
        <f t="shared" si="17"/>
        <v>6615040</v>
      </c>
      <c r="AW168" s="2" t="s">
        <v>147</v>
      </c>
      <c r="AX168" s="19">
        <v>4625000</v>
      </c>
      <c r="AY168" s="19">
        <f>VLOOKUP(Table5[[#This Row],[สินทรัพย์]],Table1[],19,FALSE)</f>
        <v>1</v>
      </c>
      <c r="AZ168" s="17">
        <f>VLOOKUP(AW168,Table1[[สินทรัพย์อ้างอิง]:[TOTAL PAPER]],18,FALSE)</f>
        <v>2</v>
      </c>
    </row>
    <row r="169" spans="1:52">
      <c r="A169" t="s">
        <v>182</v>
      </c>
      <c r="B169">
        <v>1235.92</v>
      </c>
      <c r="F169" s="2" t="s">
        <v>180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f t="shared" si="18"/>
        <v>1</v>
      </c>
      <c r="V169">
        <f t="shared" si="19"/>
        <v>0</v>
      </c>
      <c r="W169">
        <f>SUM(Table1[[#This Row],[FUNDAMENTAL]:[TECHNICAL]])</f>
        <v>1</v>
      </c>
      <c r="X169">
        <v>0</v>
      </c>
      <c r="Y169" s="52">
        <f t="shared" si="20"/>
        <v>18.93</v>
      </c>
      <c r="Z169" s="19">
        <v>31411200</v>
      </c>
      <c r="AO169" t="s">
        <v>231</v>
      </c>
      <c r="AP169" s="42">
        <v>1.37</v>
      </c>
      <c r="AQ169" s="50">
        <v>33498000</v>
      </c>
      <c r="AR169" s="51">
        <f t="shared" si="17"/>
        <v>45892260</v>
      </c>
      <c r="AW169" s="2" t="s">
        <v>87</v>
      </c>
      <c r="AX169" s="19">
        <v>4510000</v>
      </c>
      <c r="AY169" s="19">
        <f>VLOOKUP(Table5[[#This Row],[สินทรัพย์]],Table1[],19,FALSE)</f>
        <v>1</v>
      </c>
      <c r="AZ169" s="17">
        <f>VLOOKUP(AW169,Table1[[สินทรัพย์อ้างอิง]:[TOTAL PAPER]],18,FALSE)</f>
        <v>1</v>
      </c>
    </row>
    <row r="170" spans="1:52">
      <c r="A170" t="s">
        <v>183</v>
      </c>
      <c r="B170">
        <v>30691.360000000001</v>
      </c>
      <c r="F170" s="2" t="s">
        <v>181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f t="shared" si="18"/>
        <v>0</v>
      </c>
      <c r="V170">
        <f t="shared" si="19"/>
        <v>3</v>
      </c>
      <c r="W170">
        <f>SUM(Table1[[#This Row],[FUNDAMENTAL]:[TECHNICAL]])</f>
        <v>3</v>
      </c>
      <c r="X170">
        <v>0</v>
      </c>
      <c r="Y170" s="52">
        <f t="shared" si="20"/>
        <v>1168.06</v>
      </c>
      <c r="Z170" s="19">
        <v>39051600</v>
      </c>
      <c r="AO170" t="s">
        <v>435</v>
      </c>
      <c r="AP170" s="42">
        <v>4.9400000000000004</v>
      </c>
      <c r="AQ170" s="50">
        <v>1749000</v>
      </c>
      <c r="AR170" s="51">
        <f t="shared" si="17"/>
        <v>8640060</v>
      </c>
      <c r="AW170" s="2" t="s">
        <v>149</v>
      </c>
      <c r="AX170" s="19">
        <v>4480000</v>
      </c>
      <c r="AY170" s="19">
        <f>VLOOKUP(Table5[[#This Row],[สินทรัพย์]],Table1[],19,FALSE)</f>
        <v>1</v>
      </c>
      <c r="AZ170" s="17">
        <f>VLOOKUP(AW170,Table1[[สินทรัพย์อ้างอิง]:[TOTAL PAPER]],18,FALSE)</f>
        <v>2</v>
      </c>
    </row>
    <row r="171" spans="1:52">
      <c r="A171" t="s">
        <v>157</v>
      </c>
      <c r="B171">
        <v>594.55999999999995</v>
      </c>
      <c r="F171" s="2" t="s">
        <v>182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f t="shared" si="18"/>
        <v>1</v>
      </c>
      <c r="V171">
        <f t="shared" si="19"/>
        <v>0</v>
      </c>
      <c r="W171">
        <f>SUM(Table1[[#This Row],[FUNDAMENTAL]:[TECHNICAL]])</f>
        <v>1</v>
      </c>
      <c r="X171">
        <v>0</v>
      </c>
      <c r="Y171" s="52">
        <f t="shared" si="20"/>
        <v>1235.92</v>
      </c>
      <c r="Z171" s="19">
        <v>8875400</v>
      </c>
      <c r="AO171" t="s">
        <v>436</v>
      </c>
      <c r="AP171" s="42">
        <v>2.4</v>
      </c>
      <c r="AQ171" s="50">
        <v>2870740</v>
      </c>
      <c r="AR171" s="51">
        <f t="shared" si="17"/>
        <v>6889776</v>
      </c>
      <c r="AW171" s="2" t="s">
        <v>38</v>
      </c>
      <c r="AX171" s="19">
        <v>3973356</v>
      </c>
      <c r="AY171" s="19">
        <f>VLOOKUP(Table5[[#This Row],[สินทรัพย์]],Table1[],19,FALSE)</f>
        <v>0</v>
      </c>
      <c r="AZ171" s="17">
        <f>VLOOKUP(AW171,Table1[[สินทรัพย์อ้างอิง]:[TOTAL PAPER]],18,FALSE)</f>
        <v>0</v>
      </c>
    </row>
    <row r="172" spans="1:52">
      <c r="A172" t="s">
        <v>184</v>
      </c>
      <c r="B172">
        <v>2113.7800000000002</v>
      </c>
      <c r="F172" s="2" t="s">
        <v>183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f t="shared" si="18"/>
        <v>5</v>
      </c>
      <c r="V172">
        <f t="shared" si="19"/>
        <v>3</v>
      </c>
      <c r="W172">
        <f>SUM(Table1[[#This Row],[FUNDAMENTAL]:[TECHNICAL]])</f>
        <v>8</v>
      </c>
      <c r="X172">
        <v>1</v>
      </c>
      <c r="Y172" s="52">
        <f t="shared" si="20"/>
        <v>30691.360000000001</v>
      </c>
      <c r="Z172" s="19">
        <v>1643883522</v>
      </c>
      <c r="AO172" t="s">
        <v>437</v>
      </c>
      <c r="AP172" s="42">
        <v>4.28</v>
      </c>
      <c r="AQ172" s="50">
        <v>1620000</v>
      </c>
      <c r="AR172" s="51">
        <f t="shared" si="17"/>
        <v>6933600</v>
      </c>
      <c r="AW172" s="2" t="s">
        <v>163</v>
      </c>
      <c r="AX172" s="19">
        <v>3674000</v>
      </c>
      <c r="AY172" s="19">
        <f>VLOOKUP(Table5[[#This Row],[สินทรัพย์]],Table1[],19,FALSE)</f>
        <v>0</v>
      </c>
      <c r="AZ172" s="17">
        <f>VLOOKUP(AW172,Table1[[สินทรัพย์อ้างอิง]:[TOTAL PAPER]],18,FALSE)</f>
        <v>0</v>
      </c>
    </row>
    <row r="173" spans="1:52">
      <c r="F173" s="2" t="s">
        <v>184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f t="shared" si="18"/>
        <v>2</v>
      </c>
      <c r="V173">
        <f t="shared" si="19"/>
        <v>2</v>
      </c>
      <c r="W173">
        <f>SUM(Table1[[#This Row],[FUNDAMENTAL]:[TECHNICAL]])</f>
        <v>4</v>
      </c>
      <c r="X173">
        <v>1</v>
      </c>
      <c r="Y173" s="52">
        <f t="shared" si="20"/>
        <v>2113.7800000000002</v>
      </c>
      <c r="Z173" s="19">
        <v>117994800</v>
      </c>
      <c r="AO173" t="s">
        <v>438</v>
      </c>
      <c r="AP173" s="42">
        <v>15.7</v>
      </c>
      <c r="AQ173" s="50">
        <v>2520000</v>
      </c>
      <c r="AR173" s="51">
        <f t="shared" si="17"/>
        <v>39564000</v>
      </c>
      <c r="AW173" s="2" t="s">
        <v>80</v>
      </c>
      <c r="AX173" s="19">
        <v>2865800</v>
      </c>
      <c r="AY173" s="19">
        <f>VLOOKUP(Table5[[#This Row],[สินทรัพย์]],Table1[],19,FALSE)</f>
        <v>0</v>
      </c>
      <c r="AZ173" s="17">
        <f>VLOOKUP(AW173,Table1[[สินทรัพย์อ้างอิง]:[TOTAL PAPER]],18,FALSE)</f>
        <v>2</v>
      </c>
    </row>
    <row r="174" spans="1:52">
      <c r="AO174" t="s">
        <v>439</v>
      </c>
      <c r="AP174" s="42">
        <v>10.9</v>
      </c>
      <c r="AQ174" s="50">
        <v>19094200</v>
      </c>
      <c r="AR174" s="51">
        <f t="shared" si="17"/>
        <v>208126780</v>
      </c>
    </row>
    <row r="175" spans="1:52">
      <c r="AO175" t="s">
        <v>440</v>
      </c>
      <c r="AP175" s="42">
        <v>10.4</v>
      </c>
      <c r="AQ175" s="50">
        <v>8460000</v>
      </c>
      <c r="AR175" s="51">
        <f t="shared" si="17"/>
        <v>87984000</v>
      </c>
    </row>
    <row r="176" spans="1:52">
      <c r="AO176" t="s">
        <v>441</v>
      </c>
      <c r="AP176" s="42">
        <v>2.1</v>
      </c>
      <c r="AQ176" s="50">
        <v>600000</v>
      </c>
      <c r="AR176" s="51">
        <f t="shared" si="17"/>
        <v>1260000</v>
      </c>
    </row>
    <row r="177" spans="41:44">
      <c r="AO177" t="s">
        <v>442</v>
      </c>
      <c r="AP177" s="42">
        <v>3.56</v>
      </c>
      <c r="AQ177" s="50">
        <v>142502500</v>
      </c>
      <c r="AR177" s="51">
        <f t="shared" si="17"/>
        <v>507308900</v>
      </c>
    </row>
    <row r="178" spans="41:44">
      <c r="AO178" t="s">
        <v>234</v>
      </c>
      <c r="AP178" s="42">
        <v>3.68</v>
      </c>
      <c r="AQ178" s="50">
        <v>10500000</v>
      </c>
      <c r="AR178" s="51">
        <f t="shared" si="17"/>
        <v>38640000</v>
      </c>
    </row>
    <row r="179" spans="41:44">
      <c r="AO179" t="s">
        <v>443</v>
      </c>
      <c r="AP179" s="42">
        <v>1.66</v>
      </c>
      <c r="AQ179" s="50">
        <v>56277000</v>
      </c>
      <c r="AR179" s="51">
        <f t="shared" si="17"/>
        <v>93419820</v>
      </c>
    </row>
    <row r="180" spans="41:44">
      <c r="AO180" t="s">
        <v>444</v>
      </c>
      <c r="AP180" s="42">
        <v>3.98</v>
      </c>
      <c r="AQ180" s="50">
        <v>5780000</v>
      </c>
      <c r="AR180" s="51">
        <f t="shared" si="17"/>
        <v>23004400</v>
      </c>
    </row>
    <row r="181" spans="41:44">
      <c r="AO181" t="s">
        <v>445</v>
      </c>
      <c r="AP181" s="42">
        <v>22</v>
      </c>
      <c r="AQ181" s="50">
        <v>11954600</v>
      </c>
      <c r="AR181" s="51">
        <f t="shared" si="17"/>
        <v>263001200</v>
      </c>
    </row>
    <row r="182" spans="41:44">
      <c r="AO182" t="s">
        <v>293</v>
      </c>
      <c r="AP182" s="42">
        <v>12.8</v>
      </c>
      <c r="AQ182" s="50">
        <v>2322800</v>
      </c>
      <c r="AR182" s="51">
        <f t="shared" si="17"/>
        <v>29731840</v>
      </c>
    </row>
    <row r="183" spans="41:44">
      <c r="AO183" t="s">
        <v>273</v>
      </c>
      <c r="AP183" s="42">
        <v>2.56</v>
      </c>
      <c r="AQ183" s="50">
        <v>12470000</v>
      </c>
      <c r="AR183" s="51">
        <f t="shared" si="17"/>
        <v>31923200</v>
      </c>
    </row>
    <row r="184" spans="41:44">
      <c r="AO184" t="s">
        <v>292</v>
      </c>
      <c r="AP184" s="42">
        <v>8.15</v>
      </c>
      <c r="AQ184" s="50">
        <v>2460500</v>
      </c>
      <c r="AR184" s="51">
        <f t="shared" si="17"/>
        <v>20053075</v>
      </c>
    </row>
    <row r="185" spans="41:44">
      <c r="AO185" t="s">
        <v>300</v>
      </c>
      <c r="AP185" s="42">
        <v>3.7</v>
      </c>
      <c r="AQ185" s="50">
        <v>1250000</v>
      </c>
      <c r="AR185" s="51">
        <f t="shared" si="17"/>
        <v>4625000</v>
      </c>
    </row>
    <row r="186" spans="41:44">
      <c r="AO186" t="s">
        <v>276</v>
      </c>
      <c r="AP186" s="42">
        <v>2.84</v>
      </c>
      <c r="AQ186" s="50">
        <v>2160000</v>
      </c>
      <c r="AR186" s="51">
        <f t="shared" si="17"/>
        <v>6134400</v>
      </c>
    </row>
    <row r="187" spans="41:44">
      <c r="AO187" t="s">
        <v>296</v>
      </c>
      <c r="AP187" s="42">
        <v>17.5</v>
      </c>
      <c r="AQ187" s="50">
        <v>256000</v>
      </c>
      <c r="AR187" s="51">
        <f t="shared" si="17"/>
        <v>4480000</v>
      </c>
    </row>
    <row r="188" spans="41:44">
      <c r="AO188" t="s">
        <v>301</v>
      </c>
      <c r="AP188" s="42">
        <v>5</v>
      </c>
      <c r="AQ188" s="50">
        <v>1270000</v>
      </c>
      <c r="AR188" s="51">
        <f t="shared" si="17"/>
        <v>6350000</v>
      </c>
    </row>
    <row r="189" spans="41:44">
      <c r="AO189" t="s">
        <v>289</v>
      </c>
      <c r="AP189" s="42">
        <v>2.2599999999999998</v>
      </c>
      <c r="AQ189" s="50">
        <v>4000000</v>
      </c>
      <c r="AR189" s="51">
        <f t="shared" si="17"/>
        <v>9040000</v>
      </c>
    </row>
    <row r="190" spans="41:44">
      <c r="AO190" t="s">
        <v>299</v>
      </c>
      <c r="AP190" s="42">
        <v>9.1999999999999993</v>
      </c>
      <c r="AQ190" s="50">
        <v>714000</v>
      </c>
      <c r="AR190" s="51">
        <f t="shared" si="17"/>
        <v>6568799.9999999991</v>
      </c>
    </row>
    <row r="191" spans="41:44">
      <c r="AO191" t="s">
        <v>446</v>
      </c>
      <c r="AP191" s="42">
        <v>40.25</v>
      </c>
      <c r="AQ191" s="50">
        <v>10528432</v>
      </c>
      <c r="AR191" s="51">
        <f t="shared" si="17"/>
        <v>423769388</v>
      </c>
    </row>
    <row r="192" spans="41:44">
      <c r="AO192" t="s">
        <v>447</v>
      </c>
      <c r="AP192" s="42">
        <v>21.9</v>
      </c>
      <c r="AQ192" s="50">
        <v>1324000</v>
      </c>
      <c r="AR192" s="51">
        <f t="shared" si="17"/>
        <v>28995599.999999996</v>
      </c>
    </row>
    <row r="193" spans="41:44">
      <c r="AO193" t="s">
        <v>448</v>
      </c>
      <c r="AP193" s="42">
        <v>2.56</v>
      </c>
      <c r="AQ193" s="50">
        <v>10210000</v>
      </c>
      <c r="AR193" s="51">
        <f t="shared" si="17"/>
        <v>26137600</v>
      </c>
    </row>
    <row r="194" spans="41:44">
      <c r="AO194" t="s">
        <v>449</v>
      </c>
      <c r="AP194" s="42">
        <v>2.64</v>
      </c>
      <c r="AQ194" s="50">
        <v>10690400</v>
      </c>
      <c r="AR194" s="51">
        <f t="shared" si="17"/>
        <v>28222656</v>
      </c>
    </row>
    <row r="195" spans="41:44">
      <c r="AO195" t="s">
        <v>450</v>
      </c>
      <c r="AP195" s="42">
        <v>28.75</v>
      </c>
      <c r="AQ195" s="50">
        <v>1757500</v>
      </c>
      <c r="AR195" s="51">
        <f t="shared" si="17"/>
        <v>50528125</v>
      </c>
    </row>
    <row r="196" spans="41:44">
      <c r="AO196" t="s">
        <v>451</v>
      </c>
      <c r="AP196" s="42">
        <v>12.7</v>
      </c>
      <c r="AQ196" s="50">
        <v>2603000</v>
      </c>
      <c r="AR196" s="51">
        <f t="shared" ref="AR196:AR236" si="21">AP196*AQ196</f>
        <v>33058100</v>
      </c>
    </row>
    <row r="197" spans="41:44">
      <c r="AO197" t="s">
        <v>452</v>
      </c>
      <c r="AP197" s="42">
        <v>23.5</v>
      </c>
      <c r="AQ197" s="50">
        <v>1051000</v>
      </c>
      <c r="AR197" s="51">
        <f t="shared" si="21"/>
        <v>24698500</v>
      </c>
    </row>
    <row r="198" spans="41:44">
      <c r="AO198" t="s">
        <v>453</v>
      </c>
      <c r="AP198" s="42">
        <v>2.72</v>
      </c>
      <c r="AQ198" s="50">
        <v>3515000</v>
      </c>
      <c r="AR198" s="51">
        <f t="shared" si="21"/>
        <v>9560800</v>
      </c>
    </row>
    <row r="199" spans="41:44">
      <c r="AO199" t="s">
        <v>454</v>
      </c>
      <c r="AP199" s="42">
        <v>5.6</v>
      </c>
      <c r="AQ199" s="50">
        <v>7040000</v>
      </c>
      <c r="AR199" s="51">
        <f t="shared" si="21"/>
        <v>39424000</v>
      </c>
    </row>
    <row r="200" spans="41:44">
      <c r="AO200" t="s">
        <v>455</v>
      </c>
      <c r="AP200" s="42">
        <v>2.48</v>
      </c>
      <c r="AQ200" s="50">
        <v>4500000</v>
      </c>
      <c r="AR200" s="51">
        <f t="shared" si="21"/>
        <v>11160000</v>
      </c>
    </row>
    <row r="201" spans="41:44">
      <c r="AO201" t="s">
        <v>456</v>
      </c>
      <c r="AP201" s="42">
        <v>5</v>
      </c>
      <c r="AQ201" s="50">
        <v>1000000</v>
      </c>
      <c r="AR201" s="51">
        <f t="shared" si="21"/>
        <v>5000000</v>
      </c>
    </row>
    <row r="202" spans="41:44">
      <c r="AO202" t="s">
        <v>457</v>
      </c>
      <c r="AP202" s="42">
        <v>12.3</v>
      </c>
      <c r="AQ202" s="50">
        <v>800000</v>
      </c>
      <c r="AR202" s="51">
        <f t="shared" si="21"/>
        <v>9840000</v>
      </c>
    </row>
    <row r="203" spans="41:44">
      <c r="AO203" t="s">
        <v>458</v>
      </c>
      <c r="AP203" s="42">
        <v>24.8</v>
      </c>
      <c r="AQ203" s="50">
        <v>58045300</v>
      </c>
      <c r="AR203" s="51">
        <f t="shared" si="21"/>
        <v>1439523440</v>
      </c>
    </row>
    <row r="204" spans="41:44">
      <c r="AO204" t="s">
        <v>459</v>
      </c>
      <c r="AP204" s="42">
        <v>11.3</v>
      </c>
      <c r="AQ204" s="50">
        <v>5969200</v>
      </c>
      <c r="AR204" s="51">
        <f t="shared" si="21"/>
        <v>67451960</v>
      </c>
    </row>
    <row r="205" spans="41:44">
      <c r="AO205" t="s">
        <v>460</v>
      </c>
      <c r="AP205" s="42">
        <v>1.67</v>
      </c>
      <c r="AQ205" s="50">
        <v>2200000</v>
      </c>
      <c r="AR205" s="51">
        <f t="shared" si="21"/>
        <v>3674000</v>
      </c>
    </row>
    <row r="206" spans="41:44">
      <c r="AO206" t="s">
        <v>461</v>
      </c>
      <c r="AP206" s="42">
        <v>6.65</v>
      </c>
      <c r="AQ206" s="50">
        <v>4500000</v>
      </c>
      <c r="AR206" s="51">
        <f t="shared" si="21"/>
        <v>29925000</v>
      </c>
    </row>
    <row r="207" spans="41:44">
      <c r="AO207" t="s">
        <v>462</v>
      </c>
      <c r="AP207" s="42">
        <v>2.44</v>
      </c>
      <c r="AQ207" s="50">
        <v>2900000</v>
      </c>
      <c r="AR207" s="51">
        <f t="shared" si="21"/>
        <v>7076000</v>
      </c>
    </row>
    <row r="208" spans="41:44">
      <c r="AO208" t="s">
        <v>463</v>
      </c>
      <c r="AP208" s="42">
        <v>2.4</v>
      </c>
      <c r="AQ208" s="50">
        <v>235300000</v>
      </c>
      <c r="AR208" s="51">
        <f t="shared" si="21"/>
        <v>564720000</v>
      </c>
    </row>
    <row r="209" spans="41:44">
      <c r="AO209" t="s">
        <v>286</v>
      </c>
      <c r="AP209" s="42">
        <v>40</v>
      </c>
      <c r="AQ209" s="50">
        <v>3392180</v>
      </c>
      <c r="AR209" s="51">
        <f t="shared" si="21"/>
        <v>135687200</v>
      </c>
    </row>
    <row r="210" spans="41:44">
      <c r="AO210" t="s">
        <v>281</v>
      </c>
      <c r="AP210" s="42">
        <v>4.5199999999999996</v>
      </c>
      <c r="AQ210" s="50">
        <v>1200000</v>
      </c>
      <c r="AR210" s="51">
        <f t="shared" si="21"/>
        <v>5423999.9999999991</v>
      </c>
    </row>
    <row r="211" spans="41:44">
      <c r="AO211" t="s">
        <v>220</v>
      </c>
      <c r="AP211" s="42">
        <v>2.7</v>
      </c>
      <c r="AQ211" s="50">
        <v>664160000</v>
      </c>
      <c r="AR211" s="51">
        <f t="shared" si="21"/>
        <v>1793232000</v>
      </c>
    </row>
    <row r="212" spans="41:44">
      <c r="AO212" t="s">
        <v>271</v>
      </c>
      <c r="AP212" s="42">
        <v>2.72</v>
      </c>
      <c r="AQ212" s="50">
        <v>28000000</v>
      </c>
      <c r="AR212" s="51">
        <f t="shared" si="21"/>
        <v>76160000</v>
      </c>
    </row>
    <row r="213" spans="41:44">
      <c r="AO213" t="s">
        <v>464</v>
      </c>
      <c r="AP213" s="42">
        <v>2.04</v>
      </c>
      <c r="AQ213" s="50">
        <v>63195000</v>
      </c>
      <c r="AR213" s="51">
        <f t="shared" si="21"/>
        <v>128917800</v>
      </c>
    </row>
    <row r="214" spans="41:44">
      <c r="AO214" t="s">
        <v>243</v>
      </c>
      <c r="AP214" s="42">
        <v>5.4</v>
      </c>
      <c r="AQ214" s="50">
        <v>10104000</v>
      </c>
      <c r="AR214" s="51">
        <f t="shared" si="21"/>
        <v>54561600</v>
      </c>
    </row>
    <row r="215" spans="41:44">
      <c r="AO215" t="s">
        <v>465</v>
      </c>
      <c r="AP215" s="42">
        <v>11.3</v>
      </c>
      <c r="AQ215" s="50">
        <v>2300000</v>
      </c>
      <c r="AR215" s="51">
        <f t="shared" si="21"/>
        <v>25990000</v>
      </c>
    </row>
    <row r="216" spans="41:44">
      <c r="AO216" t="s">
        <v>466</v>
      </c>
      <c r="AP216" s="42">
        <v>8.8000000000000007</v>
      </c>
      <c r="AQ216" s="50">
        <v>4310000</v>
      </c>
      <c r="AR216" s="51">
        <f t="shared" si="21"/>
        <v>37928000</v>
      </c>
    </row>
    <row r="217" spans="41:44">
      <c r="AO217" t="s">
        <v>467</v>
      </c>
      <c r="AP217" s="42">
        <v>1.1499999999999999</v>
      </c>
      <c r="AQ217" s="50">
        <v>22000000</v>
      </c>
      <c r="AR217" s="51">
        <f t="shared" si="21"/>
        <v>25299999.999999996</v>
      </c>
    </row>
    <row r="218" spans="41:44">
      <c r="AO218" t="s">
        <v>468</v>
      </c>
      <c r="AP218" s="42">
        <v>3.04</v>
      </c>
      <c r="AQ218" s="50">
        <v>2330000</v>
      </c>
      <c r="AR218" s="51">
        <f t="shared" si="21"/>
        <v>7083200</v>
      </c>
    </row>
    <row r="219" spans="41:44">
      <c r="AO219" t="s">
        <v>469</v>
      </c>
      <c r="AP219" s="42">
        <v>7.85</v>
      </c>
      <c r="AQ219" s="50">
        <v>6581930</v>
      </c>
      <c r="AR219" s="51">
        <f t="shared" si="21"/>
        <v>51668150.5</v>
      </c>
    </row>
    <row r="220" spans="41:44">
      <c r="AO220" t="s">
        <v>470</v>
      </c>
      <c r="AP220" s="42">
        <v>3.9</v>
      </c>
      <c r="AQ220" s="50">
        <v>8470000</v>
      </c>
      <c r="AR220" s="51">
        <f t="shared" si="21"/>
        <v>33033000</v>
      </c>
    </row>
    <row r="221" spans="41:44">
      <c r="AO221" t="s">
        <v>471</v>
      </c>
      <c r="AP221" s="42">
        <v>17.899999999999999</v>
      </c>
      <c r="AQ221" s="50">
        <v>751000</v>
      </c>
      <c r="AR221" s="51">
        <f t="shared" si="21"/>
        <v>13442899.999999998</v>
      </c>
    </row>
    <row r="222" spans="41:44">
      <c r="AO222" t="s">
        <v>247</v>
      </c>
      <c r="AP222" s="42">
        <v>1.4</v>
      </c>
      <c r="AQ222" s="50">
        <v>14000000</v>
      </c>
      <c r="AR222" s="51">
        <f t="shared" si="21"/>
        <v>19600000</v>
      </c>
    </row>
    <row r="223" spans="41:44">
      <c r="AO223" t="s">
        <v>245</v>
      </c>
      <c r="AP223" s="42">
        <v>1.4</v>
      </c>
      <c r="AQ223" s="50">
        <v>94176000</v>
      </c>
      <c r="AR223" s="51">
        <f t="shared" si="21"/>
        <v>131846399.99999999</v>
      </c>
    </row>
    <row r="224" spans="41:44">
      <c r="AO224" t="s">
        <v>472</v>
      </c>
      <c r="AP224" s="42">
        <v>1.87</v>
      </c>
      <c r="AQ224" s="50">
        <v>12700000</v>
      </c>
      <c r="AR224" s="51">
        <f t="shared" si="21"/>
        <v>23749000</v>
      </c>
    </row>
    <row r="225" spans="41:44">
      <c r="AO225" t="s">
        <v>473</v>
      </c>
      <c r="AP225" s="42">
        <v>7.75</v>
      </c>
      <c r="AQ225" s="50">
        <v>10853000</v>
      </c>
      <c r="AR225" s="51">
        <f t="shared" si="21"/>
        <v>84110750</v>
      </c>
    </row>
    <row r="226" spans="41:44">
      <c r="AO226" t="s">
        <v>474</v>
      </c>
      <c r="AP226" s="42">
        <v>3.84</v>
      </c>
      <c r="AQ226" s="50">
        <v>8180000</v>
      </c>
      <c r="AR226" s="51">
        <f t="shared" si="21"/>
        <v>31411200</v>
      </c>
    </row>
    <row r="227" spans="41:44">
      <c r="AO227" t="s">
        <v>475</v>
      </c>
      <c r="AP227" s="42">
        <v>3.64</v>
      </c>
      <c r="AQ227" s="50">
        <v>10500000</v>
      </c>
      <c r="AR227" s="51">
        <f t="shared" si="21"/>
        <v>38220000</v>
      </c>
    </row>
    <row r="228" spans="41:44">
      <c r="AO228" t="s">
        <v>476</v>
      </c>
      <c r="AP228" s="42">
        <v>2.16</v>
      </c>
      <c r="AQ228" s="50">
        <v>385000</v>
      </c>
      <c r="AR228" s="51">
        <f t="shared" si="21"/>
        <v>831600</v>
      </c>
    </row>
    <row r="229" spans="41:44">
      <c r="AO229" t="s">
        <v>477</v>
      </c>
      <c r="AP229" s="42">
        <v>4.46</v>
      </c>
      <c r="AQ229" s="50">
        <v>1990000</v>
      </c>
      <c r="AR229" s="51">
        <f t="shared" si="21"/>
        <v>8875400</v>
      </c>
    </row>
    <row r="230" spans="41:44">
      <c r="AO230" t="s">
        <v>478</v>
      </c>
      <c r="AP230" s="42">
        <v>3.48</v>
      </c>
      <c r="AQ230" s="50">
        <v>30518400</v>
      </c>
      <c r="AR230" s="51">
        <f t="shared" si="21"/>
        <v>106204032</v>
      </c>
    </row>
    <row r="231" spans="41:44">
      <c r="AO231" t="s">
        <v>479</v>
      </c>
      <c r="AP231" s="42">
        <v>3.24</v>
      </c>
      <c r="AQ231" s="50">
        <v>4140000</v>
      </c>
      <c r="AR231" s="51">
        <f t="shared" si="21"/>
        <v>13413600</v>
      </c>
    </row>
    <row r="232" spans="41:44">
      <c r="AO232" t="s">
        <v>480</v>
      </c>
      <c r="AP232" s="42">
        <v>7.65</v>
      </c>
      <c r="AQ232" s="50">
        <v>3780000</v>
      </c>
      <c r="AR232" s="51">
        <f t="shared" si="21"/>
        <v>28917000</v>
      </c>
    </row>
    <row r="233" spans="41:44">
      <c r="AO233" t="s">
        <v>481</v>
      </c>
      <c r="AP233" s="42">
        <v>1.85</v>
      </c>
      <c r="AQ233" s="50">
        <v>5435400</v>
      </c>
      <c r="AR233" s="51">
        <f t="shared" si="21"/>
        <v>10055490</v>
      </c>
    </row>
    <row r="234" spans="41:44">
      <c r="AO234" t="s">
        <v>482</v>
      </c>
      <c r="AP234" s="42">
        <v>15.3</v>
      </c>
      <c r="AQ234" s="50">
        <v>97078000</v>
      </c>
      <c r="AR234" s="51">
        <f t="shared" si="21"/>
        <v>1485293400</v>
      </c>
    </row>
    <row r="235" spans="41:44">
      <c r="AO235" t="s">
        <v>483</v>
      </c>
      <c r="AP235" s="42">
        <v>2.64</v>
      </c>
      <c r="AQ235" s="50">
        <v>3720000</v>
      </c>
      <c r="AR235" s="51">
        <f t="shared" si="21"/>
        <v>9820800</v>
      </c>
    </row>
    <row r="236" spans="41:44">
      <c r="AO236" t="s">
        <v>484</v>
      </c>
      <c r="AP236" s="42">
        <v>14.9</v>
      </c>
      <c r="AQ236" s="50">
        <v>7260000</v>
      </c>
      <c r="AR236" s="51">
        <f t="shared" si="21"/>
        <v>108174000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3004-0B14-4908-947A-9F04FB89992D}">
  <dimension ref="A1"/>
  <sheetViews>
    <sheetView tabSelected="1" topLeftCell="B1" workbookViewId="0">
      <selection activeCell="H2" sqref="H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Nontaphat Trakoolmaporn</dc:creator>
  <cp:lastModifiedBy>Visakorn Kirivan</cp:lastModifiedBy>
  <dcterms:created xsi:type="dcterms:W3CDTF">2026-01-07T01:11:42Z</dcterms:created>
  <dcterms:modified xsi:type="dcterms:W3CDTF">2026-01-12T09:23:17Z</dcterms:modified>
</cp:coreProperties>
</file>